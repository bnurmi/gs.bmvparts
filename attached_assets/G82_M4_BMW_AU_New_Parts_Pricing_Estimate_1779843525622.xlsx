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6ead31127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696f1342dc48b8"/>
    <x:sheet xmlns:r="http://schemas.openxmlformats.org/officeDocument/2006/relationships" name="Pricing" sheetId="2" r:id="R485e844133ff414b"/>
    <x:sheet xmlns:r="http://schemas.openxmlformats.org/officeDocument/2006/relationships" name="Assumptions" sheetId="3" r:id="R1e3992b9bf6a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@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f5e1eb4974b86" /><Relationship Type="http://schemas.openxmlformats.org/officeDocument/2006/relationships/theme" Target="/xl/theme/theme1.xml" Id="Re5afe8caf8c243ef" /><Relationship Type="http://schemas.openxmlformats.org/officeDocument/2006/relationships/sharedStrings" Target="/xl/sharedStrings.xml" Id="Rcba17963426049e5" /><Relationship Type="http://schemas.openxmlformats.org/officeDocument/2006/relationships/worksheet" Target="/xl/worksheets/sheet1.xml" Id="Rf4696f1342dc48b8" /><Relationship Type="http://schemas.openxmlformats.org/officeDocument/2006/relationships/worksheet" Target="/xl/worksheets/sheet2.xml" Id="R485e844133ff414b" /><Relationship Type="http://schemas.openxmlformats.org/officeDocument/2006/relationships/worksheet" Target="/xl/worksheets/sheet3.xml" Id="R1e3992b9bf6a4230" /></Relationships>
</file>

<file path=xl/tables/table1.xml><?xml version="1.0" encoding="utf-8"?>
<x:table xmlns:x="http://schemas.openxmlformats.org/spreadsheetml/2006/main" id="2" name="CategorySummary" displayName="CategorySummary" ref="D3:E37" headerRowCount="1">
  <x:tableColumns count="2">
    <x:tableColumn id="1" name="Category"/>
    <x:tableColumn id="2" name="AUD inc GST estimate"/>
  </x:tableColumns>
  <x:tableStyleInfo name="TableStyleMedium2" showRowStripes="1"/>
</x:table>
</file>

<file path=xl/tables/table2.xml><?xml version="1.0" encoding="utf-8"?>
<x:table xmlns:x="http://schemas.openxmlformats.org/spreadsheetml/2006/main" id="1" name="PricingTable" displayName="PricingTable" ref="A1:J88" headerRowCount="1">
  <x:tableColumns count="10">
    <x:tableColumn id="1" name="Estimate Line"/>
    <x:tableColumn id="2" name="Category"/>
    <x:tableColumn id="3" name="Qty"/>
    <x:tableColumn id="4" name="Indicative US Unit (USD)"/>
    <x:tableColumn id="5" name="US Ext (USD)"/>
    <x:tableColumn id="6" name="Converted AUD ex GST"/>
    <x:tableColumn id="7" name="Indicative BMW AU inc GST"/>
    <x:tableColumn id="8" name="Confidence"/>
    <x:tableColumn id="9" name="Notes"/>
    <x:tableColumn id="10" name="Source / Look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20ab1a1a4344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4833bc3ac34fff" /></Relationships>
</file>

<file path=xl/worksheets/sheet1.xml><?xml version="1.0" encoding="utf-8"?>
<x:worksheet xmlns:x="http://schemas.openxmlformats.org/spreadsheetml/2006/main">
  <x:sheetFormatPr defaultRowHeight="15"/>
  <x:cols>
    <x:col min="4" max="4" width="24" hidden="0" customWidth="1"/>
    <x:col min="5" max="5" width="20" hidden="0" customWidth="1"/>
    <x:col min="1" max="1" width="28" hidden="0" customWidth="1"/>
    <x:col min="2" max="2" width="28" hidden="0" customWidth="1"/>
  </x:cols>
  <x:sheetData>
    <x:row r="1">
      <x:c r="A1" s="4" t="str">
        <x:v>G82 M4 Competition - New OEM BMW AU Pricing Estimate</x:v>
      </x:c>
    </x:row>
    <x:row r="3">
      <x:c r="A3" s="9" t="str">
        <x:v>Estimate source</x:v>
      </x:c>
      <x:c r="B3" t="str">
        <x:v>Estimate 2073 PDF</x:v>
      </x:c>
      <x:c r="D3" s="13" t="str">
        <x:v>Category</x:v>
      </x:c>
      <x:c r="E3" s="13" t="str">
        <x:v>AUD inc GST estimate</x:v>
      </x:c>
    </x:row>
    <x:row r="4">
      <x:c r="A4" s="9" t="str">
        <x:v>Vehicle</x:v>
      </x:c>
      <x:c r="B4" t="str">
        <x:v>BMW 4 Series Coupe G82 M4 Competition</x:v>
      </x:c>
      <x:c r="D4" s="42" t="str">
        <x:v>Lighting</x:v>
      </x:c>
      <x:c r="E4" s="27" t="n">
        <x:v>16507.7</x:v>
      </x:c>
    </x:row>
    <x:row r="5">
      <x:c r="A5" s="9" t="str">
        <x:v>VIN</x:v>
      </x:c>
      <x:c r="B5" t="str">
        <x:v>WBS32AZ060CG54821</x:v>
      </x:c>
      <x:c r="D5" s="42" t="str">
        <x:v>Suspension</x:v>
      </x:c>
      <x:c r="E5" s="27" t="n">
        <x:v>15356</x:v>
      </x:c>
    </x:row>
    <x:row r="6">
      <x:c r="A6" s="9" t="str">
        <x:v>FX used</x:v>
      </x:c>
      <x:c r="B6" t="str">
        <x:v>1 USD = 1.396 AUD</x:v>
      </x:c>
      <x:c r="D6" s="42" t="str">
        <x:v>Panel</x:v>
      </x:c>
      <x:c r="E6" s="27" t="n">
        <x:v>11612.97</x:v>
      </x:c>
    </x:row>
    <x:row r="7">
      <x:c r="A7" s="9" t="str">
        <x:v>AU dealer uplift assumption</x:v>
      </x:c>
      <x:c r="B7" t="str">
        <x:v>25% over USD converted</x:v>
      </x:c>
      <x:c r="D7" s="42" t="str">
        <x:v>SRS</x:v>
      </x:c>
      <x:c r="E7" s="27" t="n">
        <x:v>10672.42</x:v>
      </x:c>
    </x:row>
    <x:row r="8">
      <x:c r="A8" s="9" t="str">
        <x:v>GST handling</x:v>
      </x:c>
      <x:c r="B8" t="str">
        <x:v>AUD estimate includes GST assumption</x:v>
      </x:c>
      <x:c r="D8" s="42" t="str">
        <x:v>SRS restraint</x:v>
      </x:c>
      <x:c r="E8" s="27" t="n">
        <x:v>9751.06</x:v>
      </x:c>
    </x:row>
    <x:row r="9">
      <x:c r="A9" s="9" t="str">
        <x:v>Date prepared</x:v>
      </x:c>
      <x:c r="B9" t="str">
        <x:v>2026-05-26</x:v>
      </x:c>
      <x:c r="D9" s="42" t="str">
        <x:v>Wheel</x:v>
      </x:c>
      <x:c r="E9" s="27" t="n">
        <x:v>7102.16</x:v>
      </x:c>
    </x:row>
    <x:row r="10">
      <x:c r="D10" s="42" t="str">
        <x:v>Radar/driver assist</x:v>
      </x:c>
      <x:c r="E10" s="27" t="n">
        <x:v>5192.25</x:v>
      </x:c>
    </x:row>
    <x:row r="11">
      <x:c r="D11" s="42" t="str">
        <x:v>Cooling</x:v>
      </x:c>
      <x:c r="E11" s="27" t="n">
        <x:v>4721.98</x:v>
      </x:c>
    </x:row>
    <x:row r="12">
      <x:c r="A12" s="9" t="str">
        <x:v>Total parts lines</x:v>
      </x:c>
      <x:c r="B12" t="n">
        <x:v>87</x:v>
      </x:c>
      <x:c r="D12" s="42" t="str">
        <x:v>Trim/headliner</x:v>
      </x:c>
      <x:c r="E12" s="27" t="n">
        <x:v>2879.25</x:v>
      </x:c>
    </x:row>
    <x:row r="13">
      <x:c r="A13" s="9" t="str">
        <x:v>Estimated US total</x:v>
      </x:c>
      <x:c r="B13" s="27" t="n">
        <x:v>58825</x:v>
      </x:c>
      <x:c r="D13" s="42" t="str">
        <x:v>Crash structure</x:v>
      </x:c>
      <x:c r="E13" s="27" t="n">
        <x:v>2869.66</x:v>
      </x:c>
    </x:row>
    <x:row r="14">
      <x:c r="A14" s="9" t="str">
        <x:v>Estimated AUD converted ex GST</x:v>
      </x:c>
      <x:c r="B14" s="27" t="n">
        <x:v>82119.7</x:v>
      </x:c>
      <x:c r="D14" s="42" t="str">
        <x:v>Body/bumper</x:v>
      </x:c>
      <x:c r="E14" s="27" t="n">
        <x:v>2783.28</x:v>
      </x:c>
    </x:row>
    <x:row r="15">
      <x:c r="A15" s="9" t="str">
        <x:v>Estimated BMW AU inc GST</x:v>
      </x:c>
      <x:c r="B15" s="27" t="n">
        <x:v>112914.64</x:v>
      </x:c>
      <x:c r="D15" s="42" t="str">
        <x:v>Mirror</x:v>
      </x:c>
      <x:c r="E15" s="27" t="n">
        <x:v>2764.08</x:v>
      </x:c>
    </x:row>
    <x:row r="16">
      <x:c r="D16" s="42" t="str">
        <x:v>Electronics/PDC</x:v>
      </x:c>
      <x:c r="E16" s="27" t="n">
        <x:v>2169.04</x:v>
      </x:c>
    </x:row>
    <x:row r="17">
      <x:c r="D17" s="42" t="str">
        <x:v>Glass</x:v>
      </x:c>
      <x:c r="E17" s="27" t="n">
        <x:v>1996.28</x:v>
      </x:c>
    </x:row>
    <x:row r="18">
      <x:c r="D18" s="42" t="str">
        <x:v>Cooling ducting</x:v>
      </x:c>
      <x:c r="E18" s="27" t="n">
        <x:v>1708.35</x:v>
      </x:c>
    </x:row>
    <x:row r="19">
      <x:c r="D19" s="42" t="str">
        <x:v>Bumper grille</x:v>
      </x:c>
      <x:c r="E19" s="27" t="n">
        <x:v>1631.58</x:v>
      </x:c>
    </x:row>
    <x:row r="20">
      <x:c r="D20" s="42" t="str">
        <x:v>Pedestrian protection</x:v>
      </x:c>
      <x:c r="E20" s="27" t="n">
        <x:v>1612.38</x:v>
      </x:c>
    </x:row>
    <x:row r="21">
      <x:c r="D21" s="42" t="str">
        <x:v>Panel hardware</x:v>
      </x:c>
      <x:c r="E21" s="27" t="n">
        <x:v>1343.64</x:v>
      </x:c>
    </x:row>
    <x:row r="22">
      <x:c r="D22" s="42" t="str">
        <x:v>Camera/driver assist</x:v>
      </x:c>
      <x:c r="E22" s="27" t="n">
        <x:v>1247.68</x:v>
      </x:c>
    </x:row>
    <x:row r="23">
      <x:c r="D23" s="42" t="str">
        <x:v>Side trim</x:v>
      </x:c>
      <x:c r="E23" s="27" t="n">
        <x:v>1247.67</x:v>
      </x:c>
    </x:row>
    <x:row r="24">
      <x:c r="D24" s="42" t="str">
        <x:v>Bumper mesh</x:v>
      </x:c>
      <x:c r="E24" s="27" t="n">
        <x:v>1132.52</x:v>
      </x:c>
    </x:row>
    <x:row r="25">
      <x:c r="D25" s="42" t="str">
        <x:v>Side trim support</x:v>
      </x:c>
      <x:c r="E25" s="27" t="n">
        <x:v>1113.32</x:v>
      </x:c>
    </x:row>
    <x:row r="26">
      <x:c r="D26" s="42" t="str">
        <x:v>Bumper hardware</x:v>
      </x:c>
      <x:c r="E26" s="27" t="n">
        <x:v>1055.72</x:v>
      </x:c>
    </x:row>
    <x:row r="27">
      <x:c r="D27" s="42" t="str">
        <x:v>Door hardware</x:v>
      </x:c>
      <x:c r="E27" s="27" t="n">
        <x:v>873.37</x:v>
      </x:c>
    </x:row>
    <x:row r="28">
      <x:c r="D28" s="42" t="str">
        <x:v>Fluids</x:v>
      </x:c>
      <x:c r="E28" s="27" t="n">
        <x:v>633.44</x:v>
      </x:c>
    </x:row>
    <x:row r="29">
      <x:c r="D29" s="42" t="str">
        <x:v>Door seal</x:v>
      </x:c>
      <x:c r="E29" s="27" t="n">
        <x:v>499.07</x:v>
      </x:c>
    </x:row>
    <x:row r="30">
      <x:c r="D30" s="42" t="str">
        <x:v>Fuel system/body</x:v>
      </x:c>
      <x:c r="E30" s="27" t="n">
        <x:v>499.07</x:v>
      </x:c>
    </x:row>
    <x:row r="31">
      <x:c r="D31" s="42" t="str">
        <x:v>Cooling mesh</x:v>
      </x:c>
      <x:c r="E31" s="27" t="n">
        <x:v>460.68</x:v>
      </x:c>
    </x:row>
    <x:row r="32">
      <x:c r="D32" s="42" t="str">
        <x:v>Trim</x:v>
      </x:c>
      <x:c r="E32" s="27" t="n">
        <x:v>355.11</x:v>
      </x:c>
    </x:row>
    <x:row r="33">
      <x:c r="D33" s="42" t="str">
        <x:v>Wheel arch liner</x:v>
      </x:c>
      <x:c r="E33" s="27" t="n">
        <x:v>355.11</x:v>
      </x:c>
    </x:row>
    <x:row r="34">
      <x:c r="D34" s="42" t="str">
        <x:v>Cooling bracket</x:v>
      </x:c>
      <x:c r="E34" s="27" t="n">
        <x:v>326.31</x:v>
      </x:c>
    </x:row>
    <x:row r="35">
      <x:c r="D35" s="42" t="str">
        <x:v>Decal</x:v>
      </x:c>
      <x:c r="E35" s="27" t="n">
        <x:v>172.76</x:v>
      </x:c>
    </x:row>
    <x:row r="36">
      <x:c r="D36" s="42" t="str">
        <x:v>Clips/fasteners</x:v>
      </x:c>
      <x:c r="E36" s="27" t="n">
        <x:v>153.56</x:v>
      </x:c>
    </x:row>
    <x:row r="37">
      <x:c r="D37" s="42" t="str">
        <x:v>Cooling seal</x:v>
      </x:c>
      <x:c r="E37" s="27" t="n">
        <x:v>115.17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c20ab1a1a4344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8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12" hidden="0" customWidth="1"/>
    <x:col min="9" max="9" width="45" hidden="0" customWidth="1"/>
    <x:col min="10" max="10" width="42" hidden="0" customWidth="1"/>
  </x:cols>
  <x:sheetData>
    <x:row r="1">
      <x:c r="A1" s="15" t="str">
        <x:v>Estimate Line</x:v>
      </x:c>
      <x:c r="B1" s="15" t="str">
        <x:v>Category</x:v>
      </x:c>
      <x:c r="C1" s="15" t="str">
        <x:v>Qty</x:v>
      </x:c>
      <x:c r="D1" s="15" t="str">
        <x:v>Indicative US Unit (USD)</x:v>
      </x:c>
      <x:c r="E1" s="15" t="str">
        <x:v>US Ext (USD)</x:v>
      </x:c>
      <x:c r="F1" s="15" t="str">
        <x:v>Converted AUD ex GST</x:v>
      </x:c>
      <x:c r="G1" s="15" t="str">
        <x:v>Indicative BMW AU inc GST</x:v>
      </x:c>
      <x:c r="H1" s="15" t="str">
        <x:v>Confidence</x:v>
      </x:c>
      <x:c r="I1" s="15" t="str">
        <x:v>Notes</x:v>
      </x:c>
      <x:c r="J1" s="15" t="str">
        <x:v>Source / Lookup</x:v>
      </x:c>
    </x:row>
    <x:row r="2">
      <x:c r="A2" s="20" t="str">
        <x:v>FRONT BUMPER BAR</x:v>
      </x:c>
      <x:c r="B2" s="20" t="str">
        <x:v>Body/bumper</x:v>
      </x:c>
      <x:c r="C2" s="22" t="n">
        <x:v>1</x:v>
      </x:c>
      <x:c r="D2" s="26" t="n">
        <x:v>1450</x:v>
      </x:c>
      <x:c r="E2" s="26" t="n">
        <x:v>1450</x:v>
      </x:c>
      <x:c r="F2" s="26" t="n">
        <x:v>2024.2</x:v>
      </x:c>
      <x:c r="G2" s="26" t="n">
        <x:v>2783.28</x:v>
      </x:c>
      <x:c r="H2" s="20" t="str">
        <x:v>Medium</x:v>
      </x:c>
      <x:c r="I2" s="20" t="str">
        <x:v>Bumper cover shell, raw/primed. Verify carbon/exterior package.</x:v>
      </x:c>
      <x:c r="J2" s="20" t="str">
        <x:v>BMV.parts G82 catalog + US OEM dealer market estimate; verify exact PN via API/ETK</x:v>
      </x:c>
    </x:row>
    <x:row r="3">
      <x:c r="A3" s="20" t="str">
        <x:v>FRONT BUMPER BAR BADGE - BMW</x:v>
      </x:c>
      <x:c r="B3" s="20" t="str">
        <x:v>Trim</x:v>
      </x:c>
      <x:c r="C3" s="22" t="n">
        <x:v>1</x:v>
      </x:c>
      <x:c r="D3" s="26" t="n">
        <x:v>65</x:v>
      </x:c>
      <x:c r="E3" s="26" t="n">
        <x:v>65</x:v>
      </x:c>
      <x:c r="F3" s="26" t="n">
        <x:v>90.74</x:v>
      </x:c>
      <x:c r="G3" s="26" t="n">
        <x:v>124.77</x:v>
      </x:c>
      <x:c r="H3" s="20" t="str">
        <x:v>Medium</x:v>
      </x:c>
      <x:c r="I3" s="20" t="str">
        <x:v>Roundel/emblem.</x:v>
      </x:c>
      <x:c r="J3" s="20" t="str">
        <x:v>BMV.parts G82 catalog + US OEM dealer market estimate; verify exact PN via API/ETK</x:v>
      </x:c>
    </x:row>
    <x:row r="4">
      <x:c r="A4" s="20" t="str">
        <x:v>FRONT BUMPER BAR GUIDE - O/S</x:v>
      </x:c>
      <x:c r="B4" s="20" t="str">
        <x:v>Bumper hardware</x:v>
      </x:c>
      <x:c r="C4" s="22" t="n">
        <x:v>1</x:v>
      </x:c>
      <x:c r="D4" s="26" t="n">
        <x:v>95</x:v>
      </x:c>
      <x:c r="E4" s="26" t="n">
        <x:v>95</x:v>
      </x:c>
      <x:c r="F4" s="26" t="n">
        <x:v>132.62</x:v>
      </x:c>
      <x:c r="G4" s="26" t="n">
        <x:v>182.35</x:v>
      </x:c>
      <x:c r="H4" s="20" t="str">
        <x:v>Medium</x:v>
      </x:c>
      <x:c r="I4" s="20" t="str">
        <x:v>RH bumper side guide.</x:v>
      </x:c>
      <x:c r="J4" s="20" t="str">
        <x:v>BMV.parts G82 catalog + US OEM dealer market estimate; verify exact PN via API/ETK</x:v>
      </x:c>
    </x:row>
    <x:row r="5">
      <x:c r="A5" s="20" t="str">
        <x:v>FRONT BUMPER BAR GUIDE - N/S</x:v>
      </x:c>
      <x:c r="B5" s="20" t="str">
        <x:v>Bumper hardware</x:v>
      </x:c>
      <x:c r="C5" s="22" t="n">
        <x:v>1</x:v>
      </x:c>
      <x:c r="D5" s="26" t="n">
        <x:v>95</x:v>
      </x:c>
      <x:c r="E5" s="26" t="n">
        <x:v>95</x:v>
      </x:c>
      <x:c r="F5" s="26" t="n">
        <x:v>132.62</x:v>
      </x:c>
      <x:c r="G5" s="26" t="n">
        <x:v>182.35</x:v>
      </x:c>
      <x:c r="H5" s="20" t="str">
        <x:v>Medium</x:v>
      </x:c>
      <x:c r="I5" s="20" t="str">
        <x:v>LH bumper side guide.</x:v>
      </x:c>
      <x:c r="J5" s="20" t="str">
        <x:v>BMV.parts G82 catalog + US OEM dealer market estimate; verify exact PN via API/ETK</x:v>
      </x:c>
    </x:row>
    <x:row r="6">
      <x:c r="A6" s="20" t="str">
        <x:v>FRONT BUMPER BAR INNER SKELETON - O/S</x:v>
      </x:c>
      <x:c r="B6" s="20" t="str">
        <x:v>Bumper hardware</x:v>
      </x:c>
      <x:c r="C6" s="22" t="n">
        <x:v>1</x:v>
      </x:c>
      <x:c r="D6" s="26" t="n">
        <x:v>180</x:v>
      </x:c>
      <x:c r="E6" s="26" t="n">
        <x:v>180</x:v>
      </x:c>
      <x:c r="F6" s="26" t="n">
        <x:v>251.28</x:v>
      </x:c>
      <x:c r="G6" s="26" t="n">
        <x:v>345.51</x:v>
      </x:c>
      <x:c r="H6" s="20" t="str">
        <x:v>Medium</x:v>
      </x:c>
      <x:c r="I6" s="20" t="str">
        <x:v>RH inner support/carrier.</x:v>
      </x:c>
      <x:c r="J6" s="20" t="str">
        <x:v>BMV.parts G82 catalog + US OEM dealer market estimate; verify exact PN via API/ETK</x:v>
      </x:c>
    </x:row>
    <x:row r="7">
      <x:c r="A7" s="20" t="str">
        <x:v>FRONT BUMPER BAR INNER SKELETON - N/S</x:v>
      </x:c>
      <x:c r="B7" s="20" t="str">
        <x:v>Bumper hardware</x:v>
      </x:c>
      <x:c r="C7" s="22" t="n">
        <x:v>1</x:v>
      </x:c>
      <x:c r="D7" s="26" t="n">
        <x:v>180</x:v>
      </x:c>
      <x:c r="E7" s="26" t="n">
        <x:v>180</x:v>
      </x:c>
      <x:c r="F7" s="26" t="n">
        <x:v>251.28</x:v>
      </x:c>
      <x:c r="G7" s="26" t="n">
        <x:v>345.51</x:v>
      </x:c>
      <x:c r="H7" s="20" t="str">
        <x:v>Medium</x:v>
      </x:c>
      <x:c r="I7" s="20" t="str">
        <x:v>LH inner support/carrier.</x:v>
      </x:c>
      <x:c r="J7" s="20" t="str">
        <x:v>BMV.parts G82 catalog + US OEM dealer market estimate; verify exact PN via API/ETK</x:v>
      </x:c>
    </x:row>
    <x:row r="8">
      <x:c r="A8" s="20" t="str">
        <x:v>FRONT BUMPER BAR MAIN GRILLE</x:v>
      </x:c>
      <x:c r="B8" s="20" t="str">
        <x:v>Bumper grille</x:v>
      </x:c>
      <x:c r="C8" s="22" t="n">
        <x:v>1</x:v>
      </x:c>
      <x:c r="D8" s="26" t="n">
        <x:v>850</x:v>
      </x:c>
      <x:c r="E8" s="26" t="n">
        <x:v>850</x:v>
      </x:c>
      <x:c r="F8" s="26" t="n">
        <x:v>1186.6</x:v>
      </x:c>
      <x:c r="G8" s="26" t="n">
        <x:v>1631.58</x:v>
      </x:c>
      <x:c r="H8" s="20" t="str">
        <x:v>Medium</x:v>
      </x:c>
      <x:c r="I8" s="20" t="str">
        <x:v>M4 main kidney/grille assembly, exact finish to verify.</x:v>
      </x:c>
      <x:c r="J8" s="20" t="str">
        <x:v>BMV.parts G82 catalog + US OEM dealer market estimate; verify exact PN via API/ETK</x:v>
      </x:c>
    </x:row>
    <x:row r="9">
      <x:c r="A9" s="20" t="str">
        <x:v>FRONT BUMPER BAR PTS SENSORS x 6</x:v>
      </x:c>
      <x:c r="B9" s="20" t="str">
        <x:v>Electronics/PDC</x:v>
      </x:c>
      <x:c r="C9" s="22" t="n">
        <x:v>6</x:v>
      </x:c>
      <x:c r="D9" s="26" t="n">
        <x:v>145</x:v>
      </x:c>
      <x:c r="E9" s="26" t="n">
        <x:v>870</x:v>
      </x:c>
      <x:c r="F9" s="26" t="n">
        <x:v>1214.52</x:v>
      </x:c>
      <x:c r="G9" s="26" t="n">
        <x:v>1669.97</x:v>
      </x:c>
      <x:c r="H9" s="20" t="str">
        <x:v>Medium</x:v>
      </x:c>
      <x:c r="I9" s="20" t="str">
        <x:v>PDC ultrasonic sensors, painted caps excluded.</x:v>
      </x:c>
      <x:c r="J9" s="20" t="str">
        <x:v>BMV.parts G82 catalog + US OEM dealer market estimate; verify exact PN via API/ETK</x:v>
      </x:c>
    </x:row>
    <x:row r="10">
      <x:c r="A10" s="20" t="str">
        <x:v>FRONT BUMPER BAR PTS SENSORS WIRING</x:v>
      </x:c>
      <x:c r="B10" s="20" t="str">
        <x:v>Electronics/PDC</x:v>
      </x:c>
      <x:c r="C10" s="22" t="n">
        <x:v>1</x:v>
      </x:c>
      <x:c r="D10" s="26" t="n">
        <x:v>260</x:v>
      </x:c>
      <x:c r="E10" s="26" t="n">
        <x:v>260</x:v>
      </x:c>
      <x:c r="F10" s="26" t="n">
        <x:v>362.96</x:v>
      </x:c>
      <x:c r="G10" s="26" t="n">
        <x:v>499.07</x:v>
      </x:c>
      <x:c r="H10" s="20" t="str">
        <x:v>Medium</x:v>
      </x:c>
      <x:c r="I10" s="20" t="str">
        <x:v>Front PDC wiring harness.</x:v>
      </x:c>
      <x:c r="J10" s="20" t="str">
        <x:v>BMV.parts G82 catalog + US OEM dealer market estimate; verify exact PN via API/ETK</x:v>
      </x:c>
    </x:row>
    <x:row r="11">
      <x:c r="A11" s="20" t="str">
        <x:v>FRONT BUMPER BAR MAIN CAMERA</x:v>
      </x:c>
      <x:c r="B11" s="20" t="str">
        <x:v>Camera/driver assist</x:v>
      </x:c>
      <x:c r="C11" s="22" t="n">
        <x:v>1</x:v>
      </x:c>
      <x:c r="D11" s="26" t="n">
        <x:v>650</x:v>
      </x:c>
      <x:c r="E11" s="26" t="n">
        <x:v>650</x:v>
      </x:c>
      <x:c r="F11" s="26" t="n">
        <x:v>907.4</x:v>
      </x:c>
      <x:c r="G11" s="26" t="n">
        <x:v>1247.68</x:v>
      </x:c>
      <x:c r="H11" s="20" t="str">
        <x:v>Medium</x:v>
      </x:c>
      <x:c r="I11" s="20" t="str">
        <x:v>Front/surround view camera if optioned.</x:v>
      </x:c>
      <x:c r="J11" s="20" t="str">
        <x:v>BMV.parts G82 catalog + US OEM dealer market estimate; verify exact PN via API/ETK</x:v>
      </x:c>
    </x:row>
    <x:row r="12">
      <x:c r="A12" s="20" t="str">
        <x:v>FRONT BUMPER BAR NUMBER PLATE BASE</x:v>
      </x:c>
      <x:c r="B12" s="20" t="str">
        <x:v>Trim</x:v>
      </x:c>
      <x:c r="C12" s="22" t="n">
        <x:v>1</x:v>
      </x:c>
      <x:c r="D12" s="26" t="n">
        <x:v>120</x:v>
      </x:c>
      <x:c r="E12" s="26" t="n">
        <x:v>120</x:v>
      </x:c>
      <x:c r="F12" s="26" t="n">
        <x:v>167.52</x:v>
      </x:c>
      <x:c r="G12" s="26" t="n">
        <x:v>230.34</x:v>
      </x:c>
      <x:c r="H12" s="20" t="str">
        <x:v>Medium</x:v>
      </x:c>
      <x:c r="I12" s="20" t="str">
        <x:v>Front plate carrier.</x:v>
      </x:c>
      <x:c r="J12" s="20" t="str">
        <x:v>BMV.parts G82 catalog + US OEM dealer market estimate; verify exact PN via API/ETK</x:v>
      </x:c>
    </x:row>
    <x:row r="13">
      <x:c r="A13" s="20" t="str">
        <x:v>FRONT BUMPER BAR FOG LAMP MESH - O/S</x:v>
      </x:c>
      <x:c r="B13" s="20" t="str">
        <x:v>Bumper mesh</x:v>
      </x:c>
      <x:c r="C13" s="22" t="n">
        <x:v>1</x:v>
      </x:c>
      <x:c r="D13" s="26" t="n">
        <x:v>185</x:v>
      </x:c>
      <x:c r="E13" s="26" t="n">
        <x:v>185</x:v>
      </x:c>
      <x:c r="F13" s="26" t="n">
        <x:v>258.26</x:v>
      </x:c>
      <x:c r="G13" s="26" t="n">
        <x:v>355.11</x:v>
      </x:c>
      <x:c r="H13" s="20" t="str">
        <x:v>Medium</x:v>
      </x:c>
      <x:c r="I13" s="20" t="str">
        <x:v>RH lower mesh/air inlet.</x:v>
      </x:c>
      <x:c r="J13" s="20" t="str">
        <x:v>BMV.parts G82 catalog + US OEM dealer market estimate; verify exact PN via API/ETK</x:v>
      </x:c>
    </x:row>
    <x:row r="14">
      <x:c r="A14" s="20" t="str">
        <x:v>FRONT BUMPER BAR FOG LAMP MESH BACKING - O/S</x:v>
      </x:c>
      <x:c r="B14" s="20" t="str">
        <x:v>Bumper mesh</x:v>
      </x:c>
      <x:c r="C14" s="22" t="n">
        <x:v>1</x:v>
      </x:c>
      <x:c r="D14" s="26" t="n">
        <x:v>110</x:v>
      </x:c>
      <x:c r="E14" s="26" t="n">
        <x:v>110</x:v>
      </x:c>
      <x:c r="F14" s="26" t="n">
        <x:v>153.56</x:v>
      </x:c>
      <x:c r="G14" s="26" t="n">
        <x:v>211.15</x:v>
      </x:c>
      <x:c r="H14" s="20" t="str">
        <x:v>Medium</x:v>
      </x:c>
      <x:c r="I14" s="20" t="str">
        <x:v>RH mesh backing/duct piece.</x:v>
      </x:c>
      <x:c r="J14" s="20" t="str">
        <x:v>BMV.parts G82 catalog + US OEM dealer market estimate; verify exact PN via API/ETK</x:v>
      </x:c>
    </x:row>
    <x:row r="15">
      <x:c r="A15" s="20" t="str">
        <x:v>FRONT BUMPER BAR FOG LAMP MESH - N/S</x:v>
      </x:c>
      <x:c r="B15" s="20" t="str">
        <x:v>Bumper mesh</x:v>
      </x:c>
      <x:c r="C15" s="22" t="n">
        <x:v>1</x:v>
      </x:c>
      <x:c r="D15" s="26" t="n">
        <x:v>185</x:v>
      </x:c>
      <x:c r="E15" s="26" t="n">
        <x:v>185</x:v>
      </x:c>
      <x:c r="F15" s="26" t="n">
        <x:v>258.26</x:v>
      </x:c>
      <x:c r="G15" s="26" t="n">
        <x:v>355.11</x:v>
      </x:c>
      <x:c r="H15" s="20" t="str">
        <x:v>Medium</x:v>
      </x:c>
      <x:c r="I15" s="20" t="str">
        <x:v>LH lower mesh/air inlet.</x:v>
      </x:c>
      <x:c r="J15" s="20" t="str">
        <x:v>BMV.parts G82 catalog + US OEM dealer market estimate; verify exact PN via API/ETK</x:v>
      </x:c>
    </x:row>
    <x:row r="16">
      <x:c r="A16" s="20" t="str">
        <x:v>FRONT BUMPER BAR FOG LAMP MESH BACKING - N/S</x:v>
      </x:c>
      <x:c r="B16" s="20" t="str">
        <x:v>Bumper mesh</x:v>
      </x:c>
      <x:c r="C16" s="22" t="n">
        <x:v>1</x:v>
      </x:c>
      <x:c r="D16" s="26" t="n">
        <x:v>110</x:v>
      </x:c>
      <x:c r="E16" s="26" t="n">
        <x:v>110</x:v>
      </x:c>
      <x:c r="F16" s="26" t="n">
        <x:v>153.56</x:v>
      </x:c>
      <x:c r="G16" s="26" t="n">
        <x:v>211.15</x:v>
      </x:c>
      <x:c r="H16" s="20" t="str">
        <x:v>Medium</x:v>
      </x:c>
      <x:c r="I16" s="20" t="str">
        <x:v>LH mesh backing/duct piece.</x:v>
      </x:c>
      <x:c r="J16" s="20" t="str">
        <x:v>BMV.parts G82 catalog + US OEM dealer market estimate; verify exact PN via API/ETK</x:v>
      </x:c>
    </x:row>
    <x:row r="17">
      <x:c r="A17" s="20" t="str">
        <x:v>FRONT BUMPER BAR RADAR COVER</x:v>
      </x:c>
      <x:c r="B17" s="20" t="str">
        <x:v>Radar/driver assist</x:v>
      </x:c>
      <x:c r="C17" s="22" t="n">
        <x:v>1</x:v>
      </x:c>
      <x:c r="D17" s="26" t="n">
        <x:v>140</x:v>
      </x:c>
      <x:c r="E17" s="26" t="n">
        <x:v>140</x:v>
      </x:c>
      <x:c r="F17" s="26" t="n">
        <x:v>195.44</x:v>
      </x:c>
      <x:c r="G17" s="26" t="n">
        <x:v>268.73</x:v>
      </x:c>
      <x:c r="H17" s="20" t="str">
        <x:v>Low-Med</x:v>
      </x:c>
      <x:c r="I17" s="20" t="str">
        <x:v>Radar trim cover.</x:v>
      </x:c>
      <x:c r="J17" s="20" t="str">
        <x:v>BMV.parts G82 catalog + US OEM dealer market estimate; verify exact PN via API/ETK</x:v>
      </x:c>
    </x:row>
    <x:row r="18">
      <x:c r="A18" s="20" t="str">
        <x:v>FRONT BUMPER BAR RADAR</x:v>
      </x:c>
      <x:c r="B18" s="20" t="str">
        <x:v>Radar/driver assist</x:v>
      </x:c>
      <x:c r="C18" s="22" t="n">
        <x:v>1</x:v>
      </x:c>
      <x:c r="D18" s="26" t="n">
        <x:v>2400</x:v>
      </x:c>
      <x:c r="E18" s="26" t="n">
        <x:v>2400</x:v>
      </x:c>
      <x:c r="F18" s="26" t="n">
        <x:v>3350.4</x:v>
      </x:c>
      <x:c r="G18" s="26" t="n">
        <x:v>4606.8</x:v>
      </x:c>
      <x:c r="H18" s="20" t="str">
        <x:v>Low-Med</x:v>
      </x:c>
      <x:c r="I18" s="20" t="str">
        <x:v>ACC/front radar module, calibration required.</x:v>
      </x:c>
      <x:c r="J18" s="20" t="str">
        <x:v>BMV.parts G82 catalog + US OEM dealer market estimate; verify exact PN via API/ETK</x:v>
      </x:c>
    </x:row>
    <x:row r="19">
      <x:c r="A19" s="20" t="str">
        <x:v>FRONT RADAR BRACKET</x:v>
      </x:c>
      <x:c r="B19" s="20" t="str">
        <x:v>Radar/driver assist</x:v>
      </x:c>
      <x:c r="C19" s="22" t="n">
        <x:v>1</x:v>
      </x:c>
      <x:c r="D19" s="26" t="n">
        <x:v>165</x:v>
      </x:c>
      <x:c r="E19" s="26" t="n">
        <x:v>165</x:v>
      </x:c>
      <x:c r="F19" s="26" t="n">
        <x:v>230.34</x:v>
      </x:c>
      <x:c r="G19" s="26" t="n">
        <x:v>316.72</x:v>
      </x:c>
      <x:c r="H19" s="20" t="str">
        <x:v>Low-Med</x:v>
      </x:c>
      <x:c r="I19" s="20" t="str">
        <x:v>Radar mounting bracket.</x:v>
      </x:c>
      <x:c r="J19" s="20" t="str">
        <x:v>BMV.parts G82 catalog + US OEM dealer market estimate; verify exact PN via API/ETK</x:v>
      </x:c>
    </x:row>
    <x:row r="20">
      <x:c r="A20" s="20" t="str">
        <x:v>FRONT BUMPER BAR MAIN REIO</x:v>
      </x:c>
      <x:c r="B20" s="20" t="str">
        <x:v>Crash structure</x:v>
      </x:c>
      <x:c r="C20" s="22" t="n">
        <x:v>1</x:v>
      </x:c>
      <x:c r="D20" s="26" t="n">
        <x:v>650</x:v>
      </x:c>
      <x:c r="E20" s="26" t="n">
        <x:v>650</x:v>
      </x:c>
      <x:c r="F20" s="26" t="n">
        <x:v>907.4</x:v>
      </x:c>
      <x:c r="G20" s="26" t="n">
        <x:v>1247.68</x:v>
      </x:c>
      <x:c r="H20" s="20" t="str">
        <x:v>Medium</x:v>
      </x:c>
      <x:c r="I20" s="20" t="str">
        <x:v>Main bumper reinforcement.</x:v>
      </x:c>
      <x:c r="J20" s="20" t="str">
        <x:v>BMV.parts G82 catalog + US OEM dealer market estimate; verify exact PN via API/ETK</x:v>
      </x:c>
    </x:row>
    <x:row r="21">
      <x:c r="A21" s="20" t="str">
        <x:v>FRONT BUMPER BAR MAIN REIO FOAM</x:v>
      </x:c>
      <x:c r="B21" s="20" t="str">
        <x:v>Crash structure</x:v>
      </x:c>
      <x:c r="C21" s="22" t="n">
        <x:v>1</x:v>
      </x:c>
      <x:c r="D21" s="26" t="n">
        <x:v>185</x:v>
      </x:c>
      <x:c r="E21" s="26" t="n">
        <x:v>185</x:v>
      </x:c>
      <x:c r="F21" s="26" t="n">
        <x:v>258.26</x:v>
      </x:c>
      <x:c r="G21" s="26" t="n">
        <x:v>355.11</x:v>
      </x:c>
      <x:c r="H21" s="20" t="str">
        <x:v>Medium</x:v>
      </x:c>
      <x:c r="I21" s="20" t="str">
        <x:v>Energy absorber foam.</x:v>
      </x:c>
      <x:c r="J21" s="20" t="str">
        <x:v>BMV.parts G82 catalog + US OEM dealer market estimate; verify exact PN via API/ETK</x:v>
      </x:c>
    </x:row>
    <x:row r="22">
      <x:c r="A22" s="20" t="str">
        <x:v>FRONT BUMPER BAR LOWER REIO</x:v>
      </x:c>
      <x:c r="B22" s="20" t="str">
        <x:v>Crash structure</x:v>
      </x:c>
      <x:c r="C22" s="22" t="n">
        <x:v>1</x:v>
      </x:c>
      <x:c r="D22" s="26" t="n">
        <x:v>420</x:v>
      </x:c>
      <x:c r="E22" s="26" t="n">
        <x:v>420</x:v>
      </x:c>
      <x:c r="F22" s="26" t="n">
        <x:v>586.32</x:v>
      </x:c>
      <x:c r="G22" s="26" t="n">
        <x:v>806.19</x:v>
      </x:c>
      <x:c r="H22" s="20" t="str">
        <x:v>Medium</x:v>
      </x:c>
      <x:c r="I22" s="20" t="str">
        <x:v>Lower reinforcement.</x:v>
      </x:c>
      <x:c r="J22" s="20" t="str">
        <x:v>BMV.parts G82 catalog + US OEM dealer market estimate; verify exact PN via API/ETK</x:v>
      </x:c>
    </x:row>
    <x:row r="23">
      <x:c r="A23" s="20" t="str">
        <x:v>FRONT BUMPER BAR LOWER REIO FEET - O/S</x:v>
      </x:c>
      <x:c r="B23" s="20" t="str">
        <x:v>Crash structure</x:v>
      </x:c>
      <x:c r="C23" s="22" t="n">
        <x:v>1</x:v>
      </x:c>
      <x:c r="D23" s="26" t="n">
        <x:v>120</x:v>
      </x:c>
      <x:c r="E23" s="26" t="n">
        <x:v>120</x:v>
      </x:c>
      <x:c r="F23" s="26" t="n">
        <x:v>167.52</x:v>
      </x:c>
      <x:c r="G23" s="26" t="n">
        <x:v>230.34</x:v>
      </x:c>
      <x:c r="H23" s="20" t="str">
        <x:v>Medium</x:v>
      </x:c>
      <x:c r="I23" s="20" t="str">
        <x:v>RH lower reo mount/foot.</x:v>
      </x:c>
      <x:c r="J23" s="20" t="str">
        <x:v>BMV.parts G82 catalog + US OEM dealer market estimate; verify exact PN via API/ETK</x:v>
      </x:c>
    </x:row>
    <x:row r="24">
      <x:c r="A24" s="20" t="str">
        <x:v>FRONT BUMPER BAR LOWER REIO FEET - N/S</x:v>
      </x:c>
      <x:c r="B24" s="20" t="str">
        <x:v>Crash structure</x:v>
      </x:c>
      <x:c r="C24" s="22" t="n">
        <x:v>1</x:v>
      </x:c>
      <x:c r="D24" s="26" t="n">
        <x:v>120</x:v>
      </x:c>
      <x:c r="E24" s="26" t="n">
        <x:v>120</x:v>
      </x:c>
      <x:c r="F24" s="26" t="n">
        <x:v>167.52</x:v>
      </x:c>
      <x:c r="G24" s="26" t="n">
        <x:v>230.34</x:v>
      </x:c>
      <x:c r="H24" s="20" t="str">
        <x:v>Medium</x:v>
      </x:c>
      <x:c r="I24" s="20" t="str">
        <x:v>LH lower reo mount/foot.</x:v>
      </x:c>
      <x:c r="J24" s="20" t="str">
        <x:v>BMV.parts G82 catalog + US OEM dealer market estimate; verify exact PN via API/ETK</x:v>
      </x:c>
    </x:row>
    <x:row r="25">
      <x:c r="A25" s="20" t="str">
        <x:v>BONNET SHELL</x:v>
      </x:c>
      <x:c r="B25" s="20" t="str">
        <x:v>Panel</x:v>
      </x:c>
      <x:c r="C25" s="22" t="n">
        <x:v>1</x:v>
      </x:c>
      <x:c r="D25" s="26" t="n">
        <x:v>2600</x:v>
      </x:c>
      <x:c r="E25" s="26" t="n">
        <x:v>2600</x:v>
      </x:c>
      <x:c r="F25" s="26" t="n">
        <x:v>3629.6</x:v>
      </x:c>
      <x:c r="G25" s="26" t="n">
        <x:v>4990.7</x:v>
      </x:c>
      <x:c r="H25" s="20" t="str">
        <x:v>Medium</x:v>
      </x:c>
      <x:c r="I25" s="20" t="str">
        <x:v>Aluminium hood/bonnet shell.</x:v>
      </x:c>
      <x:c r="J25" s="20" t="str">
        <x:v>BMV.parts G82 catalog + US OEM dealer market estimate; verify exact PN via API/ETK</x:v>
      </x:c>
    </x:row>
    <x:row r="26">
      <x:c r="A26" s="20" t="str">
        <x:v>BONNET HINGE - O/S</x:v>
      </x:c>
      <x:c r="B26" s="20" t="str">
        <x:v>Panel hardware</x:v>
      </x:c>
      <x:c r="C26" s="22" t="n">
        <x:v>1</x:v>
      </x:c>
      <x:c r="D26" s="26" t="n">
        <x:v>210</x:v>
      </x:c>
      <x:c r="E26" s="26" t="n">
        <x:v>210</x:v>
      </x:c>
      <x:c r="F26" s="26" t="n">
        <x:v>293.16</x:v>
      </x:c>
      <x:c r="G26" s="26" t="n">
        <x:v>403.09</x:v>
      </x:c>
      <x:c r="H26" s="20" t="str">
        <x:v>Medium</x:v>
      </x:c>
      <x:c r="I26" s="20" t="str">
        <x:v>RH hood hinge.</x:v>
      </x:c>
      <x:c r="J26" s="20" t="str">
        <x:v>BMV.parts G82 catalog + US OEM dealer market estimate; verify exact PN via API/ETK</x:v>
      </x:c>
    </x:row>
    <x:row r="27">
      <x:c r="A27" s="20" t="str">
        <x:v>BONNET HINGE STRUT - O/S</x:v>
      </x:c>
      <x:c r="B27" s="20" t="str">
        <x:v>Panel hardware</x:v>
      </x:c>
      <x:c r="C27" s="22" t="n">
        <x:v>1</x:v>
      </x:c>
      <x:c r="D27" s="26" t="n">
        <x:v>140</x:v>
      </x:c>
      <x:c r="E27" s="26" t="n">
        <x:v>140</x:v>
      </x:c>
      <x:c r="F27" s="26" t="n">
        <x:v>195.44</x:v>
      </x:c>
      <x:c r="G27" s="26" t="n">
        <x:v>268.73</x:v>
      </x:c>
      <x:c r="H27" s="20" t="str">
        <x:v>Medium</x:v>
      </x:c>
      <x:c r="I27" s="20" t="str">
        <x:v>RH gas strut.</x:v>
      </x:c>
      <x:c r="J27" s="20" t="str">
        <x:v>BMV.parts G82 catalog + US OEM dealer market estimate; verify exact PN via API/ETK</x:v>
      </x:c>
    </x:row>
    <x:row r="28">
      <x:c r="A28" s="20" t="str">
        <x:v>BONNET HINGEACTUATOR - O/S</x:v>
      </x:c>
      <x:c r="B28" s="20" t="str">
        <x:v>Pedestrian protection</x:v>
      </x:c>
      <x:c r="C28" s="22" t="n">
        <x:v>1</x:v>
      </x:c>
      <x:c r="D28" s="26" t="n">
        <x:v>420</x:v>
      </x:c>
      <x:c r="E28" s="26" t="n">
        <x:v>420</x:v>
      </x:c>
      <x:c r="F28" s="26" t="n">
        <x:v>586.32</x:v>
      </x:c>
      <x:c r="G28" s="26" t="n">
        <x:v>806.19</x:v>
      </x:c>
      <x:c r="H28" s="20" t="str">
        <x:v>Medium</x:v>
      </x:c>
      <x:c r="I28" s="20" t="str">
        <x:v>RH active hood actuator.</x:v>
      </x:c>
      <x:c r="J28" s="20" t="str">
        <x:v>BMV.parts G82 catalog + US OEM dealer market estimate; verify exact PN via API/ETK</x:v>
      </x:c>
    </x:row>
    <x:row r="29">
      <x:c r="A29" s="20" t="str">
        <x:v>BONNET HINGE - N/S</x:v>
      </x:c>
      <x:c r="B29" s="20" t="str">
        <x:v>Panel hardware</x:v>
      </x:c>
      <x:c r="C29" s="22" t="n">
        <x:v>1</x:v>
      </x:c>
      <x:c r="D29" s="26" t="n">
        <x:v>210</x:v>
      </x:c>
      <x:c r="E29" s="26" t="n">
        <x:v>210</x:v>
      </x:c>
      <x:c r="F29" s="26" t="n">
        <x:v>293.16</x:v>
      </x:c>
      <x:c r="G29" s="26" t="n">
        <x:v>403.09</x:v>
      </x:c>
      <x:c r="H29" s="20" t="str">
        <x:v>Medium</x:v>
      </x:c>
      <x:c r="I29" s="20" t="str">
        <x:v>LH hood hinge.</x:v>
      </x:c>
      <x:c r="J29" s="20" t="str">
        <x:v>BMV.parts G82 catalog + US OEM dealer market estimate; verify exact PN via API/ETK</x:v>
      </x:c>
    </x:row>
    <x:row r="30">
      <x:c r="A30" s="20" t="str">
        <x:v>BONNET HINGE STRUT - N/S</x:v>
      </x:c>
      <x:c r="B30" s="20" t="str">
        <x:v>Panel hardware</x:v>
      </x:c>
      <x:c r="C30" s="22" t="n">
        <x:v>1</x:v>
      </x:c>
      <x:c r="D30" s="26" t="n">
        <x:v>140</x:v>
      </x:c>
      <x:c r="E30" s="26" t="n">
        <x:v>140</x:v>
      </x:c>
      <x:c r="F30" s="26" t="n">
        <x:v>195.44</x:v>
      </x:c>
      <x:c r="G30" s="26" t="n">
        <x:v>268.73</x:v>
      </x:c>
      <x:c r="H30" s="20" t="str">
        <x:v>Medium</x:v>
      </x:c>
      <x:c r="I30" s="20" t="str">
        <x:v>LH gas strut.</x:v>
      </x:c>
      <x:c r="J30" s="20" t="str">
        <x:v>BMV.parts G82 catalog + US OEM dealer market estimate; verify exact PN via API/ETK</x:v>
      </x:c>
    </x:row>
    <x:row r="31">
      <x:c r="A31" s="20" t="str">
        <x:v>BONNET HINGEACTUATOR - N/S</x:v>
      </x:c>
      <x:c r="B31" s="20" t="str">
        <x:v>Pedestrian protection</x:v>
      </x:c>
      <x:c r="C31" s="22" t="n">
        <x:v>1</x:v>
      </x:c>
      <x:c r="D31" s="26" t="n">
        <x:v>420</x:v>
      </x:c>
      <x:c r="E31" s="26" t="n">
        <x:v>420</x:v>
      </x:c>
      <x:c r="F31" s="26" t="n">
        <x:v>586.32</x:v>
      </x:c>
      <x:c r="G31" s="26" t="n">
        <x:v>806.19</x:v>
      </x:c>
      <x:c r="H31" s="20" t="str">
        <x:v>Medium</x:v>
      </x:c>
      <x:c r="I31" s="20" t="str">
        <x:v>LH active hood actuator.</x:v>
      </x:c>
      <x:c r="J31" s="20" t="str">
        <x:v>BMV.parts G82 catalog + US OEM dealer market estimate; verify exact PN via API/ETK</x:v>
      </x:c>
    </x:row>
    <x:row r="32">
      <x:c r="A32" s="20" t="str">
        <x:v>O/S HEADLAMP</x:v>
      </x:c>
      <x:c r="B32" s="20" t="str">
        <x:v>Lighting</x:v>
      </x:c>
      <x:c r="C32" s="22" t="n">
        <x:v>1</x:v>
      </x:c>
      <x:c r="D32" s="26" t="n">
        <x:v>4300</x:v>
      </x:c>
      <x:c r="E32" s="26" t="n">
        <x:v>4300</x:v>
      </x:c>
      <x:c r="F32" s="26" t="n">
        <x:v>6002.8</x:v>
      </x:c>
      <x:c r="G32" s="26" t="n">
        <x:v>8253.85</x:v>
      </x:c>
      <x:c r="H32" s="20" t="str">
        <x:v>Low-Med</x:v>
      </x:c>
      <x:c r="I32" s="20" t="str">
        <x:v>RH adaptive LED/laser light variant must be VIN/option verified.</x:v>
      </x:c>
      <x:c r="J32" s="20" t="str">
        <x:v>BMV.parts G82 catalog + US OEM dealer market estimate; verify exact PN via API/ETK</x:v>
      </x:c>
    </x:row>
    <x:row r="33">
      <x:c r="A33" s="20" t="str">
        <x:v>N/S HEADLAMP</x:v>
      </x:c>
      <x:c r="B33" s="20" t="str">
        <x:v>Lighting</x:v>
      </x:c>
      <x:c r="C33" s="22" t="n">
        <x:v>1</x:v>
      </x:c>
      <x:c r="D33" s="26" t="n">
        <x:v>4300</x:v>
      </x:c>
      <x:c r="E33" s="26" t="n">
        <x:v>4300</x:v>
      </x:c>
      <x:c r="F33" s="26" t="n">
        <x:v>6002.8</x:v>
      </x:c>
      <x:c r="G33" s="26" t="n">
        <x:v>8253.85</x:v>
      </x:c>
      <x:c r="H33" s="20" t="str">
        <x:v>Low-Med</x:v>
      </x:c>
      <x:c r="I33" s="20" t="str">
        <x:v>LH adaptive LED/laser light variant must be VIN/option verified.</x:v>
      </x:c>
      <x:c r="J33" s="20" t="str">
        <x:v>BMV.parts G82 catalog + US OEM dealer market estimate; verify exact PN via API/ETK</x:v>
      </x:c>
    </x:row>
    <x:row r="34">
      <x:c r="A34" s="20" t="str">
        <x:v>LOWER AIR BAFEL RADIAOTOR</x:v>
      </x:c>
      <x:c r="B34" s="20" t="str">
        <x:v>Cooling ducting</x:v>
      </x:c>
      <x:c r="C34" s="22" t="n">
        <x:v>1</x:v>
      </x:c>
      <x:c r="D34" s="26" t="n">
        <x:v>210</x:v>
      </x:c>
      <x:c r="E34" s="26" t="n">
        <x:v>210</x:v>
      </x:c>
      <x:c r="F34" s="26" t="n">
        <x:v>293.16</x:v>
      </x:c>
      <x:c r="G34" s="26" t="n">
        <x:v>403.09</x:v>
      </x:c>
      <x:c r="H34" s="20" t="str">
        <x:v>Medium</x:v>
      </x:c>
      <x:c r="I34" s="20" t="str">
        <x:v>Lower radiator air baffle/duct.</x:v>
      </x:c>
      <x:c r="J34" s="20" t="str">
        <x:v>BMV.parts G82 catalog + US OEM dealer market estimate; verify exact PN via API/ETK</x:v>
      </x:c>
    </x:row>
    <x:row r="35">
      <x:c r="A35" s="20" t="str">
        <x:v>OIL COOLER # 1</x:v>
      </x:c>
      <x:c r="B35" s="20" t="str">
        <x:v>Cooling</x:v>
      </x:c>
      <x:c r="C35" s="22" t="n">
        <x:v>1</x:v>
      </x:c>
      <x:c r="D35" s="26" t="n">
        <x:v>720</x:v>
      </x:c>
      <x:c r="E35" s="26" t="n">
        <x:v>720</x:v>
      </x:c>
      <x:c r="F35" s="26" t="n">
        <x:v>1005.12</x:v>
      </x:c>
      <x:c r="G35" s="26" t="n">
        <x:v>1382.04</x:v>
      </x:c>
      <x:c r="H35" s="20" t="str">
        <x:v>Medium</x:v>
      </x:c>
      <x:c r="I35" s="20" t="str">
        <x:v>Engine oil cooler.</x:v>
      </x:c>
      <x:c r="J35" s="20" t="str">
        <x:v>BMV.parts G82 catalog + US OEM dealer market estimate; verify exact PN via API/ETK</x:v>
      </x:c>
    </x:row>
    <x:row r="36">
      <x:c r="A36" s="20" t="str">
        <x:v>OIL COOLER BRACKET # 2</x:v>
      </x:c>
      <x:c r="B36" s="20" t="str">
        <x:v>Cooling bracket</x:v>
      </x:c>
      <x:c r="C36" s="22" t="n">
        <x:v>1</x:v>
      </x:c>
      <x:c r="D36" s="26" t="n">
        <x:v>170</x:v>
      </x:c>
      <x:c r="E36" s="26" t="n">
        <x:v>170</x:v>
      </x:c>
      <x:c r="F36" s="26" t="n">
        <x:v>237.32</x:v>
      </x:c>
      <x:c r="G36" s="26" t="n">
        <x:v>326.31</x:v>
      </x:c>
      <x:c r="H36" s="20" t="str">
        <x:v>Medium</x:v>
      </x:c>
      <x:c r="I36" s="20" t="str">
        <x:v>Oil cooler mounting bracket.</x:v>
      </x:c>
      <x:c r="J36" s="20" t="str">
        <x:v>BMV.parts G82 catalog + US OEM dealer market estimate; verify exact PN via API/ETK</x:v>
      </x:c>
    </x:row>
    <x:row r="37">
      <x:c r="A37" s="20" t="str">
        <x:v>OIL COOLER BRACKET SEAL # 3</x:v>
      </x:c>
      <x:c r="B37" s="20" t="str">
        <x:v>Cooling seal</x:v>
      </x:c>
      <x:c r="C37" s="22" t="n">
        <x:v>1</x:v>
      </x:c>
      <x:c r="D37" s="26" t="n">
        <x:v>60</x:v>
      </x:c>
      <x:c r="E37" s="26" t="n">
        <x:v>60</x:v>
      </x:c>
      <x:c r="F37" s="26" t="n">
        <x:v>83.76</x:v>
      </x:c>
      <x:c r="G37" s="26" t="n">
        <x:v>115.17</x:v>
      </x:c>
      <x:c r="H37" s="20" t="str">
        <x:v>Medium</x:v>
      </x:c>
      <x:c r="I37" s="20" t="str">
        <x:v>Oil cooler duct seal.</x:v>
      </x:c>
      <x:c r="J37" s="20" t="str">
        <x:v>BMV.parts G82 catalog + US OEM dealer market estimate; verify exact PN via API/ETK</x:v>
      </x:c>
    </x:row>
    <x:row r="38">
      <x:c r="A38" s="20" t="str">
        <x:v>RADIATOR # 1</x:v>
      </x:c>
      <x:c r="B38" s="20" t="str">
        <x:v>Cooling</x:v>
      </x:c>
      <x:c r="C38" s="22" t="n">
        <x:v>1</x:v>
      </x:c>
      <x:c r="D38" s="26" t="n">
        <x:v>870</x:v>
      </x:c>
      <x:c r="E38" s="26" t="n">
        <x:v>870</x:v>
      </x:c>
      <x:c r="F38" s="26" t="n">
        <x:v>1214.52</x:v>
      </x:c>
      <x:c r="G38" s="26" t="n">
        <x:v>1669.97</x:v>
      </x:c>
      <x:c r="H38" s="20" t="str">
        <x:v>Medium</x:v>
      </x:c>
      <x:c r="I38" s="20" t="str">
        <x:v>Main radiator/heat exchanger, exact side to verify.</x:v>
      </x:c>
      <x:c r="J38" s="20" t="str">
        <x:v>BMV.parts G82 catalog + US OEM dealer market estimate; verify exact PN via API/ETK</x:v>
      </x:c>
    </x:row>
    <x:row r="39">
      <x:c r="A39" s="20" t="str">
        <x:v>RADIATOR # 2</x:v>
      </x:c>
      <x:c r="B39" s="20" t="str">
        <x:v>Cooling</x:v>
      </x:c>
      <x:c r="C39" s="22" t="n">
        <x:v>1</x:v>
      </x:c>
      <x:c r="D39" s="26" t="n">
        <x:v>870</x:v>
      </x:c>
      <x:c r="E39" s="26" t="n">
        <x:v>870</x:v>
      </x:c>
      <x:c r="F39" s="26" t="n">
        <x:v>1214.52</x:v>
      </x:c>
      <x:c r="G39" s="26" t="n">
        <x:v>1669.97</x:v>
      </x:c>
      <x:c r="H39" s="20" t="str">
        <x:v>Medium</x:v>
      </x:c>
      <x:c r="I39" s="20" t="str">
        <x:v>Aux radiator/heat exchanger, exact side to verify.</x:v>
      </x:c>
      <x:c r="J39" s="20" t="str">
        <x:v>BMV.parts G82 catalog + US OEM dealer market estimate; verify exact PN via API/ETK</x:v>
      </x:c>
    </x:row>
    <x:row r="40">
      <x:c r="A40" s="20" t="str">
        <x:v>RADIATOR AIR BAFFEL - UPPER # 5</x:v>
      </x:c>
      <x:c r="B40" s="20" t="str">
        <x:v>Cooling ducting</x:v>
      </x:c>
      <x:c r="C40" s="22" t="n">
        <x:v>1</x:v>
      </x:c>
      <x:c r="D40" s="26" t="n">
        <x:v>180</x:v>
      </x:c>
      <x:c r="E40" s="26" t="n">
        <x:v>180</x:v>
      </x:c>
      <x:c r="F40" s="26" t="n">
        <x:v>251.28</x:v>
      </x:c>
      <x:c r="G40" s="26" t="n">
        <x:v>345.51</x:v>
      </x:c>
      <x:c r="H40" s="20" t="str">
        <x:v>Medium</x:v>
      </x:c>
      <x:c r="I40" s="20" t="str">
        <x:v>Upper baffle.</x:v>
      </x:c>
      <x:c r="J40" s="20" t="str">
        <x:v>BMV.parts G82 catalog + US OEM dealer market estimate; verify exact PN via API/ETK</x:v>
      </x:c>
    </x:row>
    <x:row r="41">
      <x:c r="A41" s="20" t="str">
        <x:v>RADIATOR AIR BAFFEL - LOWER # 8</x:v>
      </x:c>
      <x:c r="B41" s="20" t="str">
        <x:v>Cooling ducting</x:v>
      </x:c>
      <x:c r="C41" s="22" t="n">
        <x:v>1</x:v>
      </x:c>
      <x:c r="D41" s="26" t="n">
        <x:v>180</x:v>
      </x:c>
      <x:c r="E41" s="26" t="n">
        <x:v>180</x:v>
      </x:c>
      <x:c r="F41" s="26" t="n">
        <x:v>251.28</x:v>
      </x:c>
      <x:c r="G41" s="26" t="n">
        <x:v>345.51</x:v>
      </x:c>
      <x:c r="H41" s="20" t="str">
        <x:v>Medium</x:v>
      </x:c>
      <x:c r="I41" s="20" t="str">
        <x:v>Lower baffle.</x:v>
      </x:c>
      <x:c r="J41" s="20" t="str">
        <x:v>BMV.parts G82 catalog + US OEM dealer market estimate; verify exact PN via API/ETK</x:v>
      </x:c>
    </x:row>
    <x:row r="42">
      <x:c r="A42" s="20" t="str">
        <x:v>RADIATOR AIR BAFFEL - O/S # 6</x:v>
      </x:c>
      <x:c r="B42" s="20" t="str">
        <x:v>Cooling ducting</x:v>
      </x:c>
      <x:c r="C42" s="22" t="n">
        <x:v>1</x:v>
      </x:c>
      <x:c r="D42" s="26" t="n">
        <x:v>160</x:v>
      </x:c>
      <x:c r="E42" s="26" t="n">
        <x:v>160</x:v>
      </x:c>
      <x:c r="F42" s="26" t="n">
        <x:v>223.36</x:v>
      </x:c>
      <x:c r="G42" s="26" t="n">
        <x:v>307.12</x:v>
      </x:c>
      <x:c r="H42" s="20" t="str">
        <x:v>Medium</x:v>
      </x:c>
      <x:c r="I42" s="20" t="str">
        <x:v>RH baffle.</x:v>
      </x:c>
      <x:c r="J42" s="20" t="str">
        <x:v>BMV.parts G82 catalog + US OEM dealer market estimate; verify exact PN via API/ETK</x:v>
      </x:c>
    </x:row>
    <x:row r="43">
      <x:c r="A43" s="20" t="str">
        <x:v>RADIATOR AIR BAFFEL - N/S # 6</x:v>
      </x:c>
      <x:c r="B43" s="20" t="str">
        <x:v>Cooling ducting</x:v>
      </x:c>
      <x:c r="C43" s="22" t="n">
        <x:v>1</x:v>
      </x:c>
      <x:c r="D43" s="26" t="n">
        <x:v>160</x:v>
      </x:c>
      <x:c r="E43" s="26" t="n">
        <x:v>160</x:v>
      </x:c>
      <x:c r="F43" s="26" t="n">
        <x:v>223.36</x:v>
      </x:c>
      <x:c r="G43" s="26" t="n">
        <x:v>307.12</x:v>
      </x:c>
      <x:c r="H43" s="20" t="str">
        <x:v>Medium</x:v>
      </x:c>
      <x:c r="I43" s="20" t="str">
        <x:v>LH baffle.</x:v>
      </x:c>
      <x:c r="J43" s="20" t="str">
        <x:v>BMV.parts G82 catalog + US OEM dealer market estimate; verify exact PN via API/ETK</x:v>
      </x:c>
    </x:row>
    <x:row r="44">
      <x:c r="A44" s="20" t="str">
        <x:v>RADIATOR AIR BAFFEL MESH # 12</x:v>
      </x:c>
      <x:c r="B44" s="20" t="str">
        <x:v>Cooling mesh</x:v>
      </x:c>
      <x:c r="C44" s="22" t="n">
        <x:v>1</x:v>
      </x:c>
      <x:c r="D44" s="26" t="n">
        <x:v>120</x:v>
      </x:c>
      <x:c r="E44" s="26" t="n">
        <x:v>120</x:v>
      </x:c>
      <x:c r="F44" s="26" t="n">
        <x:v>167.52</x:v>
      </x:c>
      <x:c r="G44" s="26" t="n">
        <x:v>230.34</x:v>
      </x:c>
      <x:c r="H44" s="20" t="str">
        <x:v>Medium</x:v>
      </x:c>
      <x:c r="I44" s="20" t="str">
        <x:v>Mesh insert.</x:v>
      </x:c>
      <x:c r="J44" s="20" t="str">
        <x:v>BMV.parts G82 catalog + US OEM dealer market estimate; verify exact PN via API/ETK</x:v>
      </x:c>
    </x:row>
    <x:row r="45">
      <x:c r="A45" s="20" t="str">
        <x:v>RADIATOR AIR BAFFEL MESH # 13</x:v>
      </x:c>
      <x:c r="B45" s="20" t="str">
        <x:v>Cooling mesh</x:v>
      </x:c>
      <x:c r="C45" s="22" t="n">
        <x:v>1</x:v>
      </x:c>
      <x:c r="D45" s="26" t="n">
        <x:v>120</x:v>
      </x:c>
      <x:c r="E45" s="26" t="n">
        <x:v>120</x:v>
      </x:c>
      <x:c r="F45" s="26" t="n">
        <x:v>167.52</x:v>
      </x:c>
      <x:c r="G45" s="26" t="n">
        <x:v>230.34</x:v>
      </x:c>
      <x:c r="H45" s="20" t="str">
        <x:v>Medium</x:v>
      </x:c>
      <x:c r="I45" s="20" t="str">
        <x:v>Mesh insert.</x:v>
      </x:c>
      <x:c r="J45" s="20" t="str">
        <x:v>BMV.parts G82 catalog + US OEM dealer market estimate; verify exact PN via API/ETK</x:v>
      </x:c>
    </x:row>
    <x:row r="46">
      <x:c r="A46" s="20" t="str">
        <x:v>ENGINE OIL</x:v>
      </x:c>
      <x:c r="B46" s="20" t="str">
        <x:v>Fluids</x:v>
      </x:c>
      <x:c r="C46" s="22" t="n">
        <x:v>1</x:v>
      </x:c>
      <x:c r="D46" s="26" t="n">
        <x:v>220</x:v>
      </x:c>
      <x:c r="E46" s="26" t="n">
        <x:v>220</x:v>
      </x:c>
      <x:c r="F46" s="26" t="n">
        <x:v>307.12</x:v>
      </x:c>
      <x:c r="G46" s="26" t="n">
        <x:v>422.29</x:v>
      </x:c>
      <x:c r="H46" s="20" t="str">
        <x:v>Medium-High</x:v>
      </x:c>
      <x:c r="I46" s="20" t="str">
        <x:v>Oil refill allowance.</x:v>
      </x:c>
      <x:c r="J46" s="20" t="str">
        <x:v>BMV.parts G82 catalog + US OEM dealer market estimate; verify exact PN via API/ETK</x:v>
      </x:c>
    </x:row>
    <x:row r="47">
      <x:c r="A47" s="20" t="str">
        <x:v>ENGINE COOLANT BMW GENUINE</x:v>
      </x:c>
      <x:c r="B47" s="20" t="str">
        <x:v>Fluids</x:v>
      </x:c>
      <x:c r="C47" s="22" t="n">
        <x:v>1</x:v>
      </x:c>
      <x:c r="D47" s="26" t="n">
        <x:v>110</x:v>
      </x:c>
      <x:c r="E47" s="26" t="n">
        <x:v>110</x:v>
      </x:c>
      <x:c r="F47" s="26" t="n">
        <x:v>153.56</x:v>
      </x:c>
      <x:c r="G47" s="26" t="n">
        <x:v>211.15</x:v>
      </x:c>
      <x:c r="H47" s="20" t="str">
        <x:v>Medium-High</x:v>
      </x:c>
      <x:c r="I47" s="20" t="str">
        <x:v>BMW coolant allowance.</x:v>
      </x:c>
      <x:c r="J47" s="20" t="str">
        <x:v>BMV.parts G82 catalog + US OEM dealer market estimate; verify exact PN via API/ETK</x:v>
      </x:c>
    </x:row>
    <x:row r="48">
      <x:c r="A48" s="20" t="str">
        <x:v>O/S/F GUARD</x:v>
      </x:c>
      <x:c r="B48" s="20" t="str">
        <x:v>Panel</x:v>
      </x:c>
      <x:c r="C48" s="22" t="n">
        <x:v>1</x:v>
      </x:c>
      <x:c r="D48" s="26" t="n">
        <x:v>1150</x:v>
      </x:c>
      <x:c r="E48" s="26" t="n">
        <x:v>1150</x:v>
      </x:c>
      <x:c r="F48" s="26" t="n">
        <x:v>1605.4</x:v>
      </x:c>
      <x:c r="G48" s="26" t="n">
        <x:v>2207.42</x:v>
      </x:c>
      <x:c r="H48" s="20" t="str">
        <x:v>Medium</x:v>
      </x:c>
      <x:c r="I48" s="20" t="str">
        <x:v>RH front guard/fender.</x:v>
      </x:c>
      <x:c r="J48" s="20" t="str">
        <x:v>BMV.parts G82 catalog + US OEM dealer market estimate; verify exact PN via API/ETK</x:v>
      </x:c>
    </x:row>
    <x:row r="49">
      <x:c r="A49" s="20" t="str">
        <x:v>O/S/F GUARD SPLASH TRAY</x:v>
      </x:c>
      <x:c r="B49" s="20" t="str">
        <x:v>Wheel arch liner</x:v>
      </x:c>
      <x:c r="C49" s="22" t="n">
        <x:v>1</x:v>
      </x:c>
      <x:c r="D49" s="26" t="n">
        <x:v>185</x:v>
      </x:c>
      <x:c r="E49" s="26" t="n">
        <x:v>185</x:v>
      </x:c>
      <x:c r="F49" s="26" t="n">
        <x:v>258.26</x:v>
      </x:c>
      <x:c r="G49" s="26" t="n">
        <x:v>355.11</x:v>
      </x:c>
      <x:c r="H49" s="20" t="str">
        <x:v>Low-Med</x:v>
      </x:c>
      <x:c r="I49" s="20" t="str">
        <x:v>RH front liner/splash tray.</x:v>
      </x:c>
      <x:c r="J49" s="20" t="str">
        <x:v>BMV.parts G82 catalog + US OEM dealer market estimate; verify exact PN via API/ETK</x:v>
      </x:c>
    </x:row>
    <x:row r="50">
      <x:c r="A50" s="20" t="str">
        <x:v>O/S SILL PANEL MOULD</x:v>
      </x:c>
      <x:c r="B50" s="20" t="str">
        <x:v>Side trim</x:v>
      </x:c>
      <x:c r="C50" s="22" t="n">
        <x:v>1</x:v>
      </x:c>
      <x:c r="D50" s="26" t="n">
        <x:v>430</x:v>
      </x:c>
      <x:c r="E50" s="26" t="n">
        <x:v>430</x:v>
      </x:c>
      <x:c r="F50" s="26" t="n">
        <x:v>600.28</x:v>
      </x:c>
      <x:c r="G50" s="26" t="n">
        <x:v>825.38</x:v>
      </x:c>
      <x:c r="H50" s="20" t="str">
        <x:v>Medium</x:v>
      </x:c>
      <x:c r="I50" s="20" t="str">
        <x:v>RH side sill moulding.</x:v>
      </x:c>
      <x:c r="J50" s="20" t="str">
        <x:v>BMV.parts G82 catalog + US OEM dealer market estimate; verify exact PN via API/ETK</x:v>
      </x:c>
    </x:row>
    <x:row r="51">
      <x:c r="A51" s="20" t="str">
        <x:v>O/S SILL PANEL MOULD INSERT</x:v>
      </x:c>
      <x:c r="B51" s="20" t="str">
        <x:v>Side trim</x:v>
      </x:c>
      <x:c r="C51" s="22" t="n">
        <x:v>1</x:v>
      </x:c>
      <x:c r="D51" s="26" t="n">
        <x:v>220</x:v>
      </x:c>
      <x:c r="E51" s="26" t="n">
        <x:v>220</x:v>
      </x:c>
      <x:c r="F51" s="26" t="n">
        <x:v>307.12</x:v>
      </x:c>
      <x:c r="G51" s="26" t="n">
        <x:v>422.29</x:v>
      </x:c>
      <x:c r="H51" s="20" t="str">
        <x:v>Medium</x:v>
      </x:c>
      <x:c r="I51" s="20" t="str">
        <x:v>RH sill insert.</x:v>
      </x:c>
      <x:c r="J51" s="20" t="str">
        <x:v>BMV.parts G82 catalog + US OEM dealer market estimate; verify exact PN via API/ETK</x:v>
      </x:c>
    </x:row>
    <x:row r="52">
      <x:c r="A52" s="20" t="str">
        <x:v>O/S SILL PANEL MOULD REIO # 3</x:v>
      </x:c>
      <x:c r="B52" s="20" t="str">
        <x:v>Side trim support</x:v>
      </x:c>
      <x:c r="C52" s="22" t="n">
        <x:v>1</x:v>
      </x:c>
      <x:c r="D52" s="26" t="n">
        <x:v>145</x:v>
      </x:c>
      <x:c r="E52" s="26" t="n">
        <x:v>145</x:v>
      </x:c>
      <x:c r="F52" s="26" t="n">
        <x:v>202.42</x:v>
      </x:c>
      <x:c r="G52" s="26" t="n">
        <x:v>278.33</x:v>
      </x:c>
      <x:c r="H52" s="20" t="str">
        <x:v>Medium</x:v>
      </x:c>
      <x:c r="I52" s="20" t="str">
        <x:v>Sill reinforcement/support.</x:v>
      </x:c>
      <x:c r="J52" s="20" t="str">
        <x:v>BMV.parts G82 catalog + US OEM dealer market estimate; verify exact PN via API/ETK</x:v>
      </x:c>
    </x:row>
    <x:row r="53">
      <x:c r="A53" s="20" t="str">
        <x:v>O/S SILL PANEL MOULD REIO # 4</x:v>
      </x:c>
      <x:c r="B53" s="20" t="str">
        <x:v>Side trim support</x:v>
      </x:c>
      <x:c r="C53" s="22" t="n">
        <x:v>1</x:v>
      </x:c>
      <x:c r="D53" s="26" t="n">
        <x:v>145</x:v>
      </x:c>
      <x:c r="E53" s="26" t="n">
        <x:v>145</x:v>
      </x:c>
      <x:c r="F53" s="26" t="n">
        <x:v>202.42</x:v>
      </x:c>
      <x:c r="G53" s="26" t="n">
        <x:v>278.33</x:v>
      </x:c>
      <x:c r="H53" s="20" t="str">
        <x:v>Medium</x:v>
      </x:c>
      <x:c r="I53" s="20" t="str">
        <x:v>Sill reinforcement/support.</x:v>
      </x:c>
      <x:c r="J53" s="20" t="str">
        <x:v>BMV.parts G82 catalog + US OEM dealer market estimate; verify exact PN via API/ETK</x:v>
      </x:c>
    </x:row>
    <x:row r="54">
      <x:c r="A54" s="20" t="str">
        <x:v>O/S SILL PANEL MOULD REIO # 5</x:v>
      </x:c>
      <x:c r="B54" s="20" t="str">
        <x:v>Side trim support</x:v>
      </x:c>
      <x:c r="C54" s="22" t="n">
        <x:v>1</x:v>
      </x:c>
      <x:c r="D54" s="26" t="n">
        <x:v>145</x:v>
      </x:c>
      <x:c r="E54" s="26" t="n">
        <x:v>145</x:v>
      </x:c>
      <x:c r="F54" s="26" t="n">
        <x:v>202.42</x:v>
      </x:c>
      <x:c r="G54" s="26" t="n">
        <x:v>278.33</x:v>
      </x:c>
      <x:c r="H54" s="20" t="str">
        <x:v>Medium</x:v>
      </x:c>
      <x:c r="I54" s="20" t="str">
        <x:v>Sill reinforcement/support.</x:v>
      </x:c>
      <x:c r="J54" s="20" t="str">
        <x:v>BMV.parts G82 catalog + US OEM dealer market estimate; verify exact PN via API/ETK</x:v>
      </x:c>
    </x:row>
    <x:row r="55">
      <x:c r="A55" s="20" t="str">
        <x:v>O/S SILL PANEL MOULD REIO # 6</x:v>
      </x:c>
      <x:c r="B55" s="20" t="str">
        <x:v>Side trim support</x:v>
      </x:c>
      <x:c r="C55" s="22" t="n">
        <x:v>1</x:v>
      </x:c>
      <x:c r="D55" s="26" t="n">
        <x:v>145</x:v>
      </x:c>
      <x:c r="E55" s="26" t="n">
        <x:v>145</x:v>
      </x:c>
      <x:c r="F55" s="26" t="n">
        <x:v>202.42</x:v>
      </x:c>
      <x:c r="G55" s="26" t="n">
        <x:v>278.33</x:v>
      </x:c>
      <x:c r="H55" s="20" t="str">
        <x:v>Medium</x:v>
      </x:c>
      <x:c r="I55" s="20" t="str">
        <x:v>Sill reinforcement/support.</x:v>
      </x:c>
      <x:c r="J55" s="20" t="str">
        <x:v>BMV.parts G82 catalog + US OEM dealer market estimate; verify exact PN via API/ETK</x:v>
      </x:c>
    </x:row>
    <x:row r="56">
      <x:c r="A56" s="20" t="str">
        <x:v>O/S/F ROAD WHEEL</x:v>
      </x:c>
      <x:c r="B56" s="20" t="str">
        <x:v>Wheel</x:v>
      </x:c>
      <x:c r="C56" s="22" t="n">
        <x:v>1</x:v>
      </x:c>
      <x:c r="D56" s="26" t="n">
        <x:v>1850</x:v>
      </x:c>
      <x:c r="E56" s="26" t="n">
        <x:v>1850</x:v>
      </x:c>
      <x:c r="F56" s="26" t="n">
        <x:v>2582.6</x:v>
      </x:c>
      <x:c r="G56" s="26" t="n">
        <x:v>3551.08</x:v>
      </x:c>
      <x:c r="H56" s="20" t="str">
        <x:v>Low-Med</x:v>
      </x:c>
      <x:c r="I56" s="20" t="str">
        <x:v>Factory front wheel. Exact style/finish to verify.</x:v>
      </x:c>
      <x:c r="J56" s="20" t="str">
        <x:v>BMV.parts G82 catalog + US OEM dealer market estimate; verify exact PN via API/ETK</x:v>
      </x:c>
    </x:row>
    <x:row r="57">
      <x:c r="A57" s="20" t="str">
        <x:v>N/S/F ROAD WHEEL</x:v>
      </x:c>
      <x:c r="B57" s="20" t="str">
        <x:v>Wheel</x:v>
      </x:c>
      <x:c r="C57" s="22" t="n">
        <x:v>1</x:v>
      </x:c>
      <x:c r="D57" s="26" t="n">
        <x:v>1850</x:v>
      </x:c>
      <x:c r="E57" s="26" t="n">
        <x:v>1850</x:v>
      </x:c>
      <x:c r="F57" s="26" t="n">
        <x:v>2582.6</x:v>
      </x:c>
      <x:c r="G57" s="26" t="n">
        <x:v>3551.08</x:v>
      </x:c>
      <x:c r="H57" s="20" t="str">
        <x:v>Low-Med</x:v>
      </x:c>
      <x:c r="I57" s="20" t="str">
        <x:v>Factory front wheel. Exact style/finish to verify.</x:v>
      </x:c>
      <x:c r="J57" s="20" t="str">
        <x:v>BMV.parts G82 catalog + US OEM dealer market estimate; verify exact PN via API/ETK</x:v>
      </x:c>
    </x:row>
    <x:row r="58">
      <x:c r="A58" s="20" t="str">
        <x:v>N/S/F SUSPENSION - COMPLETE</x:v>
      </x:c>
      <x:c r="B58" s="20" t="str">
        <x:v>Suspension</x:v>
      </x:c>
      <x:c r="C58" s="22" t="n">
        <x:v>1</x:v>
      </x:c>
      <x:c r="D58" s="26" t="n">
        <x:v>4200</x:v>
      </x:c>
      <x:c r="E58" s="26" t="n">
        <x:v>4200</x:v>
      </x:c>
      <x:c r="F58" s="26" t="n">
        <x:v>5863.2</x:v>
      </x:c>
      <x:c r="G58" s="26" t="n">
        <x:v>8061.9</x:v>
      </x:c>
      <x:c r="H58" s="20" t="str">
        <x:v>Low-Med</x:v>
      </x:c>
      <x:c r="I58" s="20" t="str">
        <x:v>Complete front LH corner allowance: strut, arms, hub, links, hardware.</x:v>
      </x:c>
      <x:c r="J58" s="20" t="str">
        <x:v>BMV.parts G82 catalog + US OEM dealer market estimate; verify exact PN via API/ETK</x:v>
      </x:c>
    </x:row>
    <x:row r="59">
      <x:c r="A59" s="20" t="str">
        <x:v>O/S DOOR</x:v>
      </x:c>
      <x:c r="B59" s="20" t="str">
        <x:v>Panel</x:v>
      </x:c>
      <x:c r="C59" s="22" t="n">
        <x:v>1</x:v>
      </x:c>
      <x:c r="D59" s="26" t="n">
        <x:v>2300</x:v>
      </x:c>
      <x:c r="E59" s="26" t="n">
        <x:v>2300</x:v>
      </x:c>
      <x:c r="F59" s="26" t="n">
        <x:v>3210.8</x:v>
      </x:c>
      <x:c r="G59" s="26" t="n">
        <x:v>4414.85</x:v>
      </x:c>
      <x:c r="H59" s="20" t="str">
        <x:v>Medium</x:v>
      </x:c>
      <x:c r="I59" s="20" t="str">
        <x:v>RH door shell.</x:v>
      </x:c>
      <x:c r="J59" s="20" t="str">
        <x:v>BMV.parts G82 catalog + US OEM dealer market estimate; verify exact PN via API/ETK</x:v>
      </x:c>
    </x:row>
    <x:row r="60">
      <x:c r="A60" s="20" t="str">
        <x:v>O/S DOOR HINGE - UPPER</x:v>
      </x:c>
      <x:c r="B60" s="20" t="str">
        <x:v>Door hardware</x:v>
      </x:c>
      <x:c r="C60" s="22" t="n">
        <x:v>1</x:v>
      </x:c>
      <x:c r="D60" s="26" t="n">
        <x:v>180</x:v>
      </x:c>
      <x:c r="E60" s="26" t="n">
        <x:v>180</x:v>
      </x:c>
      <x:c r="F60" s="26" t="n">
        <x:v>251.28</x:v>
      </x:c>
      <x:c r="G60" s="26" t="n">
        <x:v>345.51</x:v>
      </x:c>
      <x:c r="H60" s="20" t="str">
        <x:v>Medium</x:v>
      </x:c>
      <x:c r="I60" s="20" t="str">
        <x:v>RH upper hinge.</x:v>
      </x:c>
      <x:c r="J60" s="20" t="str">
        <x:v>BMV.parts G82 catalog + US OEM dealer market estimate; verify exact PN via API/ETK</x:v>
      </x:c>
    </x:row>
    <x:row r="61">
      <x:c r="A61" s="20" t="str">
        <x:v>O/S DOOR HINGE - LOWER</x:v>
      </x:c>
      <x:c r="B61" s="20" t="str">
        <x:v>Door hardware</x:v>
      </x:c>
      <x:c r="C61" s="22" t="n">
        <x:v>1</x:v>
      </x:c>
      <x:c r="D61" s="26" t="n">
        <x:v>180</x:v>
      </x:c>
      <x:c r="E61" s="26" t="n">
        <x:v>180</x:v>
      </x:c>
      <x:c r="F61" s="26" t="n">
        <x:v>251.28</x:v>
      </x:c>
      <x:c r="G61" s="26" t="n">
        <x:v>345.51</x:v>
      </x:c>
      <x:c r="H61" s="20" t="str">
        <x:v>Medium</x:v>
      </x:c>
      <x:c r="I61" s="20" t="str">
        <x:v>RH lower hinge.</x:v>
      </x:c>
      <x:c r="J61" s="20" t="str">
        <x:v>BMV.parts G82 catalog + US OEM dealer market estimate; verify exact PN via API/ETK</x:v>
      </x:c>
    </x:row>
    <x:row r="62">
      <x:c r="A62" s="20" t="str">
        <x:v>O/S DOOR CHECK STRAP</x:v>
      </x:c>
      <x:c r="B62" s="20" t="str">
        <x:v>Door hardware</x:v>
      </x:c>
      <x:c r="C62" s="22" t="n">
        <x:v>1</x:v>
      </x:c>
      <x:c r="D62" s="26" t="n">
        <x:v>95</x:v>
      </x:c>
      <x:c r="E62" s="26" t="n">
        <x:v>95</x:v>
      </x:c>
      <x:c r="F62" s="26" t="n">
        <x:v>132.62</x:v>
      </x:c>
      <x:c r="G62" s="26" t="n">
        <x:v>182.35</x:v>
      </x:c>
      <x:c r="H62" s="20" t="str">
        <x:v>Medium</x:v>
      </x:c>
      <x:c r="I62" s="20" t="str">
        <x:v>RH check strap.</x:v>
      </x:c>
      <x:c r="J62" s="20" t="str">
        <x:v>BMV.parts G82 catalog + US OEM dealer market estimate; verify exact PN via API/ETK</x:v>
      </x:c>
    </x:row>
    <x:row r="63">
      <x:c r="A63" s="20" t="str">
        <x:v>O/S DOOR WEATHER SEAL (ON DOOR)</x:v>
      </x:c>
      <x:c r="B63" s="20" t="str">
        <x:v>Door seal</x:v>
      </x:c>
      <x:c r="C63" s="22" t="n">
        <x:v>1</x:v>
      </x:c>
      <x:c r="D63" s="26" t="n">
        <x:v>260</x:v>
      </x:c>
      <x:c r="E63" s="26" t="n">
        <x:v>260</x:v>
      </x:c>
      <x:c r="F63" s="26" t="n">
        <x:v>362.96</x:v>
      </x:c>
      <x:c r="G63" s="26" t="n">
        <x:v>499.07</x:v>
      </x:c>
      <x:c r="H63" s="20" t="str">
        <x:v>Medium</x:v>
      </x:c>
      <x:c r="I63" s="20" t="str">
        <x:v>Door mounted weather seal.</x:v>
      </x:c>
      <x:c r="J63" s="20" t="str">
        <x:v>BMV.parts G82 catalog + US OEM dealer market estimate; verify exact PN via API/ETK</x:v>
      </x:c>
    </x:row>
    <x:row r="64">
      <x:c r="A64" s="20" t="str">
        <x:v>O/S DOOR TRIM RETAINERS</x:v>
      </x:c>
      <x:c r="B64" s="20" t="str">
        <x:v>Clips/fasteners</x:v>
      </x:c>
      <x:c r="C64" s="22" t="n">
        <x:v>1</x:v>
      </x:c>
      <x:c r="D64" s="26" t="n">
        <x:v>80</x:v>
      </x:c>
      <x:c r="E64" s="26" t="n">
        <x:v>80</x:v>
      </x:c>
      <x:c r="F64" s="26" t="n">
        <x:v>111.68</x:v>
      </x:c>
      <x:c r="G64" s="26" t="n">
        <x:v>153.56</x:v>
      </x:c>
      <x:c r="H64" s="20" t="str">
        <x:v>Medium-High</x:v>
      </x:c>
      <x:c r="I64" s="20" t="str">
        <x:v>Retainers/clips allowance.</x:v>
      </x:c>
      <x:c r="J64" s="20" t="str">
        <x:v>BMV.parts G82 catalog + US OEM dealer market estimate; verify exact PN via API/ETK</x:v>
      </x:c>
    </x:row>
    <x:row r="65">
      <x:c r="A65" s="20" t="str">
        <x:v>O/S DOOR MIRROR MECHANISM</x:v>
      </x:c>
      <x:c r="B65" s="20" t="str">
        <x:v>Mirror</x:v>
      </x:c>
      <x:c r="C65" s="22" t="n">
        <x:v>1</x:v>
      </x:c>
      <x:c r="D65" s="26" t="n">
        <x:v>820</x:v>
      </x:c>
      <x:c r="E65" s="26" t="n">
        <x:v>820</x:v>
      </x:c>
      <x:c r="F65" s="26" t="n">
        <x:v>1144.72</x:v>
      </x:c>
      <x:c r="G65" s="26" t="n">
        <x:v>1573.99</x:v>
      </x:c>
      <x:c r="H65" s="20" t="str">
        <x:v>Medium</x:v>
      </x:c>
      <x:c r="I65" s="20" t="str">
        <x:v>Mirror drive/base mechanism.</x:v>
      </x:c>
      <x:c r="J65" s="20" t="str">
        <x:v>BMV.parts G82 catalog + US OEM dealer market estimate; verify exact PN via API/ETK</x:v>
      </x:c>
    </x:row>
    <x:row r="66">
      <x:c r="A66" s="20" t="str">
        <x:v>O/S DOOR MIRROR HOUSING</x:v>
      </x:c>
      <x:c r="B66" s="20" t="str">
        <x:v>Mirror</x:v>
      </x:c>
      <x:c r="C66" s="22" t="n">
        <x:v>1</x:v>
      </x:c>
      <x:c r="D66" s="26" t="n">
        <x:v>430</x:v>
      </x:c>
      <x:c r="E66" s="26" t="n">
        <x:v>430</x:v>
      </x:c>
      <x:c r="F66" s="26" t="n">
        <x:v>600.28</x:v>
      </x:c>
      <x:c r="G66" s="26" t="n">
        <x:v>825.38</x:v>
      </x:c>
      <x:c r="H66" s="20" t="str">
        <x:v>Medium</x:v>
      </x:c>
      <x:c r="I66" s="20" t="str">
        <x:v>Mirror housing/cap, exact finish to verify.</x:v>
      </x:c>
      <x:c r="J66" s="20" t="str">
        <x:v>BMV.parts G82 catalog + US OEM dealer market estimate; verify exact PN via API/ETK</x:v>
      </x:c>
    </x:row>
    <x:row r="67">
      <x:c r="A67" s="20" t="str">
        <x:v>O/S DOOR GLASS MIRROR</x:v>
      </x:c>
      <x:c r="B67" s="20" t="str">
        <x:v>Mirror</x:v>
      </x:c>
      <x:c r="C67" s="22" t="n">
        <x:v>1</x:v>
      </x:c>
      <x:c r="D67" s="26" t="n">
        <x:v>190</x:v>
      </x:c>
      <x:c r="E67" s="26" t="n">
        <x:v>190</x:v>
      </x:c>
      <x:c r="F67" s="26" t="n">
        <x:v>265.24</x:v>
      </x:c>
      <x:c r="G67" s="26" t="n">
        <x:v>364.71</x:v>
      </x:c>
      <x:c r="H67" s="20" t="str">
        <x:v>Medium</x:v>
      </x:c>
      <x:c r="I67" s="20" t="str">
        <x:v>Mirror glass.</x:v>
      </x:c>
      <x:c r="J67" s="20" t="str">
        <x:v>BMV.parts G82 catalog + US OEM dealer market estimate; verify exact PN via API/ETK</x:v>
      </x:c>
    </x:row>
    <x:row r="68">
      <x:c r="A68" s="20" t="str">
        <x:v>O/S DOOR GLASS</x:v>
      </x:c>
      <x:c r="B68" s="20" t="str">
        <x:v>Glass</x:v>
      </x:c>
      <x:c r="C68" s="22" t="n">
        <x:v>1</x:v>
      </x:c>
      <x:c r="D68" s="26" t="n">
        <x:v>520</x:v>
      </x:c>
      <x:c r="E68" s="26" t="n">
        <x:v>520</x:v>
      </x:c>
      <x:c r="F68" s="26" t="n">
        <x:v>725.92</x:v>
      </x:c>
      <x:c r="G68" s="26" t="n">
        <x:v>998.14</x:v>
      </x:c>
      <x:c r="H68" s="20" t="str">
        <x:v>Medium</x:v>
      </x:c>
      <x:c r="I68" s="20" t="str">
        <x:v>RH door glass.</x:v>
      </x:c>
      <x:c r="J68" s="20" t="str">
        <x:v>BMV.parts G82 catalog + US OEM dealer market estimate; verify exact PN via API/ETK</x:v>
      </x:c>
    </x:row>
    <x:row r="69">
      <x:c r="A69" s="20" t="str">
        <x:v>N/S DOOR GLASS</x:v>
      </x:c>
      <x:c r="B69" s="20" t="str">
        <x:v>Glass</x:v>
      </x:c>
      <x:c r="C69" s="22" t="n">
        <x:v>1</x:v>
      </x:c>
      <x:c r="D69" s="26" t="n">
        <x:v>520</x:v>
      </x:c>
      <x:c r="E69" s="26" t="n">
        <x:v>520</x:v>
      </x:c>
      <x:c r="F69" s="26" t="n">
        <x:v>725.92</x:v>
      </x:c>
      <x:c r="G69" s="26" t="n">
        <x:v>998.14</x:v>
      </x:c>
      <x:c r="H69" s="20" t="str">
        <x:v>Medium</x:v>
      </x:c>
      <x:c r="I69" s="20" t="str">
        <x:v>LH door glass.</x:v>
      </x:c>
      <x:c r="J69" s="20" t="str">
        <x:v>BMV.parts G82 catalog + US OEM dealer market estimate; verify exact PN via API/ETK</x:v>
      </x:c>
    </x:row>
    <x:row r="70">
      <x:c r="A70" s="20" t="str">
        <x:v>FUEL FILLER BUCKET</x:v>
      </x:c>
      <x:c r="B70" s="20" t="str">
        <x:v>Fuel system/body</x:v>
      </x:c>
      <x:c r="C70" s="22" t="n">
        <x:v>1</x:v>
      </x:c>
      <x:c r="D70" s="26" t="n">
        <x:v>260</x:v>
      </x:c>
      <x:c r="E70" s="26" t="n">
        <x:v>260</x:v>
      </x:c>
      <x:c r="F70" s="26" t="n">
        <x:v>362.96</x:v>
      </x:c>
      <x:c r="G70" s="26" t="n">
        <x:v>499.07</x:v>
      </x:c>
      <x:c r="H70" s="20" t="str">
        <x:v>Medium</x:v>
      </x:c>
      <x:c r="I70" s="20" t="str">
        <x:v>Fuel filler recess/bucket.</x:v>
      </x:c>
      <x:c r="J70" s="20" t="str">
        <x:v>BMV.parts G82 catalog + US OEM dealer market estimate; verify exact PN via API/ETK</x:v>
      </x:c>
    </x:row>
    <x:row r="71">
      <x:c r="A71" s="20" t="str">
        <x:v>FUEL FILLER BUCKET - DECAL</x:v>
      </x:c>
      <x:c r="B71" s="20" t="str">
        <x:v>Decal</x:v>
      </x:c>
      <x:c r="C71" s="22" t="n">
        <x:v>1</x:v>
      </x:c>
      <x:c r="D71" s="26" t="n">
        <x:v>45</x:v>
      </x:c>
      <x:c r="E71" s="26" t="n">
        <x:v>45</x:v>
      </x:c>
      <x:c r="F71" s="26" t="n">
        <x:v>62.82</x:v>
      </x:c>
      <x:c r="G71" s="26" t="n">
        <x:v>86.38</x:v>
      </x:c>
      <x:c r="H71" s="20" t="str">
        <x:v>Medium-High</x:v>
      </x:c>
      <x:c r="I71" s="20" t="str">
        <x:v>Fuel label/decal.</x:v>
      </x:c>
      <x:c r="J71" s="20" t="str">
        <x:v>BMV.parts G82 catalog + US OEM dealer market estimate; verify exact PN via API/ETK</x:v>
      </x:c>
    </x:row>
    <x:row r="72">
      <x:c r="A72" s="20" t="str">
        <x:v>FUEL FILLER BUCKET - DECAL</x:v>
      </x:c>
      <x:c r="B72" s="20" t="str">
        <x:v>Decal</x:v>
      </x:c>
      <x:c r="C72" s="22" t="n">
        <x:v>1</x:v>
      </x:c>
      <x:c r="D72" s="26" t="n">
        <x:v>45</x:v>
      </x:c>
      <x:c r="E72" s="26" t="n">
        <x:v>45</x:v>
      </x:c>
      <x:c r="F72" s="26" t="n">
        <x:v>62.82</x:v>
      </x:c>
      <x:c r="G72" s="26" t="n">
        <x:v>86.38</x:v>
      </x:c>
      <x:c r="H72" s="20" t="str">
        <x:v>Medium-High</x:v>
      </x:c>
      <x:c r="I72" s="20" t="str">
        <x:v>Fuel label/decal duplicate line from estimate.</x:v>
      </x:c>
      <x:c r="J72" s="20" t="str">
        <x:v>BMV.parts G82 catalog + US OEM dealer market estimate; verify exact PN via API/ETK</x:v>
      </x:c>
    </x:row>
    <x:row r="73">
      <x:c r="A73" s="20" t="str">
        <x:v>HOOD LINING</x:v>
      </x:c>
      <x:c r="B73" s="20" t="str">
        <x:v>Trim/headliner</x:v>
      </x:c>
      <x:c r="C73" s="22" t="n">
        <x:v>1</x:v>
      </x:c>
      <x:c r="D73" s="26" t="n">
        <x:v>1500</x:v>
      </x:c>
      <x:c r="E73" s="26" t="n">
        <x:v>1500</x:v>
      </x:c>
      <x:c r="F73" s="26" t="n">
        <x:v>2094</x:v>
      </x:c>
      <x:c r="G73" s="26" t="n">
        <x:v>2879.25</x:v>
      </x:c>
      <x:c r="H73" s="20" t="str">
        <x:v>Medium</x:v>
      </x:c>
      <x:c r="I73" s="20" t="str">
        <x:v>Headlining/roof liner allowance.</x:v>
      </x:c>
      <x:c r="J73" s="20" t="str">
        <x:v>BMV.parts G82 catalog + US OEM dealer market estimate; verify exact PN via API/ETK</x:v>
      </x:c>
    </x:row>
    <x:row r="74">
      <x:c r="A74" s="20" t="str">
        <x:v>O/S SIDE CURTIAN AIR BAG</x:v>
      </x:c>
      <x:c r="B74" s="20" t="str">
        <x:v>SRS</x:v>
      </x:c>
      <x:c r="C74" s="22" t="n">
        <x:v>1</x:v>
      </x:c>
      <x:c r="D74" s="26" t="n">
        <x:v>1050</x:v>
      </x:c>
      <x:c r="E74" s="26" t="n">
        <x:v>1050</x:v>
      </x:c>
      <x:c r="F74" s="26" t="n">
        <x:v>1465.8</x:v>
      </x:c>
      <x:c r="G74" s="26" t="n">
        <x:v>2015.48</x:v>
      </x:c>
      <x:c r="H74" s="20" t="str">
        <x:v>Low-Med</x:v>
      </x:c>
      <x:c r="I74" s="20" t="str">
        <x:v>RH curtain airbag.</x:v>
      </x:c>
      <x:c r="J74" s="20" t="str">
        <x:v>BMV.parts G82 catalog + US OEM dealer market estimate; verify exact PN via API/ETK</x:v>
      </x:c>
    </x:row>
    <x:row r="75">
      <x:c r="A75" s="20" t="str">
        <x:v>N/S SIDE CURTIAN AIR BAG</x:v>
      </x:c>
      <x:c r="B75" s="20" t="str">
        <x:v>SRS</x:v>
      </x:c>
      <x:c r="C75" s="22" t="n">
        <x:v>1</x:v>
      </x:c>
      <x:c r="D75" s="26" t="n">
        <x:v>1050</x:v>
      </x:c>
      <x:c r="E75" s="26" t="n">
        <x:v>1050</x:v>
      </x:c>
      <x:c r="F75" s="26" t="n">
        <x:v>1465.8</x:v>
      </x:c>
      <x:c r="G75" s="26" t="n">
        <x:v>2015.48</x:v>
      </x:c>
      <x:c r="H75" s="20" t="str">
        <x:v>Low-Med</x:v>
      </x:c>
      <x:c r="I75" s="20" t="str">
        <x:v>LH curtain airbag.</x:v>
      </x:c>
      <x:c r="J75" s="20" t="str">
        <x:v>BMV.parts G82 catalog + US OEM dealer market estimate; verify exact PN via API/ETK</x:v>
      </x:c>
    </x:row>
    <x:row r="76">
      <x:c r="A76" s="20" t="str">
        <x:v>O/S/F SEAT SIDEAIR BAG</x:v>
      </x:c>
      <x:c r="B76" s="20" t="str">
        <x:v>SRS</x:v>
      </x:c>
      <x:c r="C76" s="22" t="n">
        <x:v>1</x:v>
      </x:c>
      <x:c r="D76" s="26" t="n">
        <x:v>780</x:v>
      </x:c>
      <x:c r="E76" s="26" t="n">
        <x:v>780</x:v>
      </x:c>
      <x:c r="F76" s="26" t="n">
        <x:v>1088.88</x:v>
      </x:c>
      <x:c r="G76" s="26" t="n">
        <x:v>1497.21</x:v>
      </x:c>
      <x:c r="H76" s="20" t="str">
        <x:v>Low-Med</x:v>
      </x:c>
      <x:c r="I76" s="20" t="str">
        <x:v>RH front seat side airbag.</x:v>
      </x:c>
      <x:c r="J76" s="20" t="str">
        <x:v>BMV.parts G82 catalog + US OEM dealer market estimate; verify exact PN via API/ETK</x:v>
      </x:c>
    </x:row>
    <x:row r="77">
      <x:c r="A77" s="20" t="str">
        <x:v>N/S/F SEAT SIDEAIR BAG</x:v>
      </x:c>
      <x:c r="B77" s="20" t="str">
        <x:v>SRS</x:v>
      </x:c>
      <x:c r="C77" s="22" t="n">
        <x:v>1</x:v>
      </x:c>
      <x:c r="D77" s="26" t="n">
        <x:v>780</x:v>
      </x:c>
      <x:c r="E77" s="26" t="n">
        <x:v>780</x:v>
      </x:c>
      <x:c r="F77" s="26" t="n">
        <x:v>1088.88</x:v>
      </x:c>
      <x:c r="G77" s="26" t="n">
        <x:v>1497.21</x:v>
      </x:c>
      <x:c r="H77" s="20" t="str">
        <x:v>Low-Med</x:v>
      </x:c>
      <x:c r="I77" s="20" t="str">
        <x:v>LH front seat side airbag.</x:v>
      </x:c>
      <x:c r="J77" s="20" t="str">
        <x:v>BMV.parts G82 catalog + US OEM dealer market estimate; verify exact PN via API/ETK</x:v>
      </x:c>
    </x:row>
    <x:row r="78">
      <x:c r="A78" s="20" t="str">
        <x:v>O/S QTR INNER AIR BAG</x:v>
      </x:c>
      <x:c r="B78" s="20" t="str">
        <x:v>SRS</x:v>
      </x:c>
      <x:c r="C78" s="22" t="n">
        <x:v>1</x:v>
      </x:c>
      <x:c r="D78" s="26" t="n">
        <x:v>950</x:v>
      </x:c>
      <x:c r="E78" s="26" t="n">
        <x:v>950</x:v>
      </x:c>
      <x:c r="F78" s="26" t="n">
        <x:v>1326.2</x:v>
      </x:c>
      <x:c r="G78" s="26" t="n">
        <x:v>1823.52</x:v>
      </x:c>
      <x:c r="H78" s="20" t="str">
        <x:v>Low-Med</x:v>
      </x:c>
      <x:c r="I78" s="20" t="str">
        <x:v>RH rear/quarter airbag module.</x:v>
      </x:c>
      <x:c r="J78" s="20" t="str">
        <x:v>BMV.parts G82 catalog + US OEM dealer market estimate; verify exact PN via API/ETK</x:v>
      </x:c>
    </x:row>
    <x:row r="79">
      <x:c r="A79" s="20" t="str">
        <x:v>N/S QTR INNER AIR BAG</x:v>
      </x:c>
      <x:c r="B79" s="20" t="str">
        <x:v>SRS</x:v>
      </x:c>
      <x:c r="C79" s="22" t="n">
        <x:v>1</x:v>
      </x:c>
      <x:c r="D79" s="26" t="n">
        <x:v>950</x:v>
      </x:c>
      <x:c r="E79" s="26" t="n">
        <x:v>950</x:v>
      </x:c>
      <x:c r="F79" s="26" t="n">
        <x:v>1326.2</x:v>
      </x:c>
      <x:c r="G79" s="26" t="n">
        <x:v>1823.52</x:v>
      </x:c>
      <x:c r="H79" s="20" t="str">
        <x:v>Low-Med</x:v>
      </x:c>
      <x:c r="I79" s="20" t="str">
        <x:v>LH rear/quarter airbag module.</x:v>
      </x:c>
      <x:c r="J79" s="20" t="str">
        <x:v>BMV.parts G82 catalog + US OEM dealer market estimate; verify exact PN via API/ETK</x:v>
      </x:c>
    </x:row>
    <x:row r="80">
      <x:c r="A80" s="20" t="str">
        <x:v>O/S/F SRS SEAT BELTASSEMBLY</x:v>
      </x:c>
      <x:c r="B80" s="20" t="str">
        <x:v>SRS restraint</x:v>
      </x:c>
      <x:c r="C80" s="22" t="n">
        <x:v>1</x:v>
      </x:c>
      <x:c r="D80" s="26" t="n">
        <x:v>900</x:v>
      </x:c>
      <x:c r="E80" s="26" t="n">
        <x:v>900</x:v>
      </x:c>
      <x:c r="F80" s="26" t="n">
        <x:v>1256.4</x:v>
      </x:c>
      <x:c r="G80" s="26" t="n">
        <x:v>1727.55</x:v>
      </x:c>
      <x:c r="H80" s="20" t="str">
        <x:v>Low-Med</x:v>
      </x:c>
      <x:c r="I80" s="20" t="str">
        <x:v>RH front pyrotechnic belt.</x:v>
      </x:c>
      <x:c r="J80" s="20" t="str">
        <x:v>BMV.parts G82 catalog + US OEM dealer market estimate; verify exact PN via API/ETK</x:v>
      </x:c>
    </x:row>
    <x:row r="81">
      <x:c r="A81" s="20" t="str">
        <x:v>OS/F SRS BUCKEL ASSEMBLY</x:v>
      </x:c>
      <x:c r="B81" s="20" t="str">
        <x:v>SRS restraint</x:v>
      </x:c>
      <x:c r="C81" s="22" t="n">
        <x:v>1</x:v>
      </x:c>
      <x:c r="D81" s="26" t="n">
        <x:v>360</x:v>
      </x:c>
      <x:c r="E81" s="26" t="n">
        <x:v>360</x:v>
      </x:c>
      <x:c r="F81" s="26" t="n">
        <x:v>502.56</x:v>
      </x:c>
      <x:c r="G81" s="26" t="n">
        <x:v>691.02</x:v>
      </x:c>
      <x:c r="H81" s="20" t="str">
        <x:v>Low-Med</x:v>
      </x:c>
      <x:c r="I81" s="20" t="str">
        <x:v>RH front buckle/tensioner.</x:v>
      </x:c>
      <x:c r="J81" s="20" t="str">
        <x:v>BMV.parts G82 catalog + US OEM dealer market estimate; verify exact PN via API/ETK</x:v>
      </x:c>
    </x:row>
    <x:row r="82">
      <x:c r="A82" s="20" t="str">
        <x:v>N/S/F SRS SEAT BELTASSEMBLY</x:v>
      </x:c>
      <x:c r="B82" s="20" t="str">
        <x:v>SRS restraint</x:v>
      </x:c>
      <x:c r="C82" s="22" t="n">
        <x:v>1</x:v>
      </x:c>
      <x:c r="D82" s="26" t="n">
        <x:v>900</x:v>
      </x:c>
      <x:c r="E82" s="26" t="n">
        <x:v>900</x:v>
      </x:c>
      <x:c r="F82" s="26" t="n">
        <x:v>1256.4</x:v>
      </x:c>
      <x:c r="G82" s="26" t="n">
        <x:v>1727.55</x:v>
      </x:c>
      <x:c r="H82" s="20" t="str">
        <x:v>Low-Med</x:v>
      </x:c>
      <x:c r="I82" s="20" t="str">
        <x:v>LH front pyrotechnic belt.</x:v>
      </x:c>
      <x:c r="J82" s="20" t="str">
        <x:v>BMV.parts G82 catalog + US OEM dealer market estimate; verify exact PN via API/ETK</x:v>
      </x:c>
    </x:row>
    <x:row r="83">
      <x:c r="A83" s="20" t="str">
        <x:v>N/S/F SRS BUCKEL ASSEMBLY</x:v>
      </x:c>
      <x:c r="B83" s="20" t="str">
        <x:v>SRS restraint</x:v>
      </x:c>
      <x:c r="C83" s="22" t="n">
        <x:v>1</x:v>
      </x:c>
      <x:c r="D83" s="26" t="n">
        <x:v>360</x:v>
      </x:c>
      <x:c r="E83" s="26" t="n">
        <x:v>360</x:v>
      </x:c>
      <x:c r="F83" s="26" t="n">
        <x:v>502.56</x:v>
      </x:c>
      <x:c r="G83" s="26" t="n">
        <x:v>691.02</x:v>
      </x:c>
      <x:c r="H83" s="20" t="str">
        <x:v>Low-Med</x:v>
      </x:c>
      <x:c r="I83" s="20" t="str">
        <x:v>LH front buckle/tensioner.</x:v>
      </x:c>
      <x:c r="J83" s="20" t="str">
        <x:v>BMV.parts G82 catalog + US OEM dealer market estimate; verify exact PN via API/ETK</x:v>
      </x:c>
    </x:row>
    <x:row r="84">
      <x:c r="A84" s="20" t="str">
        <x:v>O/S/R SRS SEAT BELTASSEMBLY</x:v>
      </x:c>
      <x:c r="B84" s="20" t="str">
        <x:v>SRS restraint</x:v>
      </x:c>
      <x:c r="C84" s="22" t="n">
        <x:v>1</x:v>
      </x:c>
      <x:c r="D84" s="26" t="n">
        <x:v>760</x:v>
      </x:c>
      <x:c r="E84" s="26" t="n">
        <x:v>760</x:v>
      </x:c>
      <x:c r="F84" s="26" t="n">
        <x:v>1060.96</x:v>
      </x:c>
      <x:c r="G84" s="26" t="n">
        <x:v>1458.82</x:v>
      </x:c>
      <x:c r="H84" s="20" t="str">
        <x:v>Low-Med</x:v>
      </x:c>
      <x:c r="I84" s="20" t="str">
        <x:v>RH rear SRS belt.</x:v>
      </x:c>
      <x:c r="J84" s="20" t="str">
        <x:v>BMV.parts G82 catalog + US OEM dealer market estimate; verify exact PN via API/ETK</x:v>
      </x:c>
    </x:row>
    <x:row r="85">
      <x:c r="A85" s="20" t="str">
        <x:v>O/S/R SEAT BELTASSEMBLY</x:v>
      </x:c>
      <x:c r="B85" s="20" t="str">
        <x:v>SRS restraint</x:v>
      </x:c>
      <x:c r="C85" s="22" t="n">
        <x:v>1</x:v>
      </x:c>
      <x:c r="D85" s="26" t="n">
        <x:v>520</x:v>
      </x:c>
      <x:c r="E85" s="26" t="n">
        <x:v>520</x:v>
      </x:c>
      <x:c r="F85" s="26" t="n">
        <x:v>725.92</x:v>
      </x:c>
      <x:c r="G85" s="26" t="n">
        <x:v>998.14</x:v>
      </x:c>
      <x:c r="H85" s="20" t="str">
        <x:v>Low-Med</x:v>
      </x:c>
      <x:c r="I85" s="20" t="str">
        <x:v>RH rear belt assembly.</x:v>
      </x:c>
      <x:c r="J85" s="20" t="str">
        <x:v>BMV.parts G82 catalog + US OEM dealer market estimate; verify exact PN via API/ETK</x:v>
      </x:c>
    </x:row>
    <x:row r="86">
      <x:c r="A86" s="20" t="str">
        <x:v>N/S/R SRS SEAT BELTASSEMBLY</x:v>
      </x:c>
      <x:c r="B86" s="20" t="str">
        <x:v>SRS restraint</x:v>
      </x:c>
      <x:c r="C86" s="22" t="n">
        <x:v>1</x:v>
      </x:c>
      <x:c r="D86" s="26" t="n">
        <x:v>760</x:v>
      </x:c>
      <x:c r="E86" s="26" t="n">
        <x:v>760</x:v>
      </x:c>
      <x:c r="F86" s="26" t="n">
        <x:v>1060.96</x:v>
      </x:c>
      <x:c r="G86" s="26" t="n">
        <x:v>1458.82</x:v>
      </x:c>
      <x:c r="H86" s="20" t="str">
        <x:v>Low-Med</x:v>
      </x:c>
      <x:c r="I86" s="20" t="str">
        <x:v>LH rear SRS belt.</x:v>
      </x:c>
      <x:c r="J86" s="20" t="str">
        <x:v>BMV.parts G82 catalog + US OEM dealer market estimate; verify exact PN via API/ETK</x:v>
      </x:c>
    </x:row>
    <x:row r="87">
      <x:c r="A87" s="20" t="str">
        <x:v>N/S/R SEAT BELTASSEMBLY</x:v>
      </x:c>
      <x:c r="B87" s="20" t="str">
        <x:v>SRS restraint</x:v>
      </x:c>
      <x:c r="C87" s="22" t="n">
        <x:v>1</x:v>
      </x:c>
      <x:c r="D87" s="26" t="n">
        <x:v>520</x:v>
      </x:c>
      <x:c r="E87" s="26" t="n">
        <x:v>520</x:v>
      </x:c>
      <x:c r="F87" s="26" t="n">
        <x:v>725.92</x:v>
      </x:c>
      <x:c r="G87" s="26" t="n">
        <x:v>998.14</x:v>
      </x:c>
      <x:c r="H87" s="20" t="str">
        <x:v>Low-Med</x:v>
      </x:c>
      <x:c r="I87" s="20" t="str">
        <x:v>LH rear belt assembly.</x:v>
      </x:c>
      <x:c r="J87" s="20" t="str">
        <x:v>BMV.parts G82 catalog + US OEM dealer market estimate; verify exact PN via API/ETK</x:v>
      </x:c>
    </x:row>
    <x:row r="88">
      <x:c r="A88" s="20" t="str">
        <x:v>O/S/R SUSPENSION COMPLETE</x:v>
      </x:c>
      <x:c r="B88" s="20" t="str">
        <x:v>Suspension</x:v>
      </x:c>
      <x:c r="C88" s="22" t="n">
        <x:v>1</x:v>
      </x:c>
      <x:c r="D88" s="26" t="n">
        <x:v>3800</x:v>
      </x:c>
      <x:c r="E88" s="26" t="n">
        <x:v>3800</x:v>
      </x:c>
      <x:c r="F88" s="26" t="n">
        <x:v>5304.8</x:v>
      </x:c>
      <x:c r="G88" s="26" t="n">
        <x:v>7294.1</x:v>
      </x:c>
      <x:c r="H88" s="20" t="str">
        <x:v>Low-Med</x:v>
      </x:c>
      <x:c r="I88" s="20" t="str">
        <x:v>Complete rear RH corner allowance: arms, hub, links, hardware.</x:v>
      </x:c>
      <x:c r="J88" s="20" t="str">
        <x:v>BMV.parts G82 catalog + US OEM dealer market estimate; verify exact PN via API/ETK</x:v>
      </x:c>
    </x:row>
    <x:row r="89">
      <x:c r="A89" s="33" t="str">
        <x:v>TOTAL ESTIMATED NEW OEM PARTS</x:v>
      </x:c>
      <x:c r="B89" s="33"/>
      <x:c r="C89" s="34"/>
      <x:c r="D89" s="35"/>
      <x:c r="E89" s="35" t="n">
        <x:f>SUM(E2:E88)</x:f>
        <x:v>58825</x:v>
      </x:c>
      <x:c r="F89" s="35" t="n">
        <x:f>SUM(F2:F88)</x:f>
        <x:v>82119.69999999997</x:v>
      </x:c>
      <x:c r="G89" s="35" t="n">
        <x:f>SUM(G2:G88)</x:f>
        <x:v>112914.64000000009</x:v>
      </x:c>
      <x:c r="H89" s="33" t="str">
        <x:v>Excludes paint, labour, calibration, freight, consumables not listed, and hidden structural items.</x:v>
      </x:c>
      <x:c r="I89" s="33"/>
      <x:c r="J89" s="33"/>
    </x:row>
    <x:row r="90">
      <x:c r="C90" s="23"/>
      <x:c r="D90" s="27"/>
      <x:c r="E90" s="27"/>
      <x:c r="F90" s="27"/>
      <x:c r="G90" s="27"/>
    </x:row>
    <x:row r="91">
      <x:c r="C91" s="23"/>
      <x:c r="D91" s="27"/>
      <x:c r="E91" s="27"/>
      <x:c r="F91" s="27"/>
      <x:c r="G91" s="27"/>
    </x:row>
    <x:row r="92">
      <x:c r="C92" s="23"/>
      <x:c r="D92" s="27"/>
      <x:c r="E92" s="27"/>
      <x:c r="F92" s="27"/>
      <x:c r="G92" s="27"/>
    </x:row>
    <x:row r="93">
      <x:c r="C93" s="23"/>
      <x:c r="D93" s="27"/>
      <x:c r="E93" s="27"/>
      <x:c r="F93" s="27"/>
      <x:c r="G93" s="27"/>
    </x:row>
    <x:row r="94">
      <x:c r="C94" s="23"/>
      <x:c r="D94" s="27"/>
      <x:c r="E94" s="27"/>
      <x:c r="F94" s="27"/>
      <x:c r="G94" s="27"/>
    </x:row>
    <x:row r="95">
      <x:c r="C95" s="23"/>
      <x:c r="D95" s="27"/>
      <x:c r="E95" s="27"/>
      <x:c r="F95" s="27"/>
      <x:c r="G95" s="27"/>
    </x:row>
    <x:row r="96">
      <x:c r="C96" s="23"/>
      <x:c r="D96" s="27"/>
      <x:c r="E96" s="27"/>
      <x:c r="F96" s="27"/>
      <x:c r="G96" s="27"/>
    </x:row>
    <x:row r="97">
      <x:c r="C97" s="23"/>
      <x:c r="D97" s="27"/>
      <x:c r="E97" s="27"/>
      <x:c r="F97" s="27"/>
      <x:c r="G97" s="27"/>
    </x:row>
    <x:row r="98">
      <x:c r="C98" s="23"/>
      <x:c r="D98" s="27"/>
      <x:c r="E98" s="27"/>
      <x:c r="F98" s="27"/>
      <x:c r="G98" s="27"/>
    </x:row>
    <x:row r="99">
      <x:c r="C99" s="23"/>
      <x:c r="D99" s="27"/>
      <x:c r="E99" s="27"/>
      <x:c r="F99" s="27"/>
      <x:c r="G99" s="27"/>
    </x:row>
    <x:row r="100">
      <x:c r="C100" s="23"/>
      <x:c r="D100" s="27"/>
      <x:c r="E100" s="27"/>
      <x:c r="F100" s="27"/>
      <x:c r="G100" s="27"/>
    </x:row>
    <x:row r="101">
      <x:c r="C101" s="23"/>
      <x:c r="D101" s="27"/>
      <x:c r="E101" s="27"/>
      <x:c r="F101" s="27"/>
      <x:c r="G101" s="27"/>
    </x:row>
    <x:row r="102">
      <x:c r="C102" s="23"/>
      <x:c r="D102" s="27"/>
      <x:c r="E102" s="27"/>
      <x:c r="F102" s="27"/>
      <x:c r="G102" s="27"/>
    </x:row>
    <x:row r="103">
      <x:c r="C103" s="23"/>
      <x:c r="D103" s="27"/>
      <x:c r="E103" s="27"/>
      <x:c r="F103" s="27"/>
      <x:c r="G103" s="27"/>
    </x:row>
    <x:row r="104">
      <x:c r="C104" s="23"/>
      <x:c r="D104" s="27"/>
      <x:c r="E104" s="27"/>
      <x:c r="F104" s="27"/>
      <x:c r="G104" s="27"/>
    </x:row>
    <x:row r="105">
      <x:c r="C105" s="23"/>
      <x:c r="D105" s="27"/>
      <x:c r="E105" s="27"/>
      <x:c r="F105" s="27"/>
      <x:c r="G105" s="27"/>
    </x:row>
    <x:row r="106">
      <x:c r="C106" s="23"/>
      <x:c r="D106" s="27"/>
      <x:c r="E106" s="27"/>
      <x:c r="F106" s="27"/>
      <x:c r="G106" s="27"/>
    </x:row>
    <x:row r="107">
      <x:c r="C107" s="23"/>
      <x:c r="D107" s="27"/>
      <x:c r="E107" s="27"/>
      <x:c r="F107" s="27"/>
      <x:c r="G107" s="27"/>
    </x:row>
    <x:row r="108">
      <x:c r="C108" s="23"/>
      <x:c r="D108" s="27"/>
      <x:c r="E108" s="27"/>
      <x:c r="F108" s="27"/>
      <x:c r="G108" s="27"/>
    </x:row>
    <x:row r="109">
      <x:c r="C109" s="23"/>
      <x:c r="D109" s="27"/>
      <x:c r="E109" s="27"/>
      <x:c r="F109" s="27"/>
      <x:c r="G109" s="27"/>
    </x:row>
    <x:row r="110">
      <x:c r="C110" s="23"/>
      <x:c r="D110" s="27"/>
      <x:c r="E110" s="27"/>
      <x:c r="F110" s="27"/>
      <x:c r="G110" s="27"/>
    </x:row>
    <x:row r="111">
      <x:c r="C111" s="23"/>
      <x:c r="D111" s="27"/>
      <x:c r="E111" s="27"/>
      <x:c r="F111" s="27"/>
      <x:c r="G111" s="27"/>
    </x:row>
    <x:row r="112">
      <x:c r="C112" s="23"/>
      <x:c r="D112" s="27"/>
      <x:c r="E112" s="27"/>
      <x:c r="F112" s="27"/>
      <x:c r="G112" s="27"/>
    </x:row>
    <x:row r="113">
      <x:c r="C113" s="23"/>
      <x:c r="D113" s="27"/>
      <x:c r="E113" s="27"/>
      <x:c r="F113" s="27"/>
      <x:c r="G113" s="27"/>
    </x:row>
    <x:row r="114">
      <x:c r="C114" s="23"/>
      <x:c r="D114" s="27"/>
      <x:c r="E114" s="27"/>
      <x:c r="F114" s="27"/>
      <x:c r="G114" s="27"/>
    </x:row>
    <x:row r="115">
      <x:c r="C115" s="23"/>
      <x:c r="D115" s="27"/>
      <x:c r="E115" s="27"/>
      <x:c r="F115" s="27"/>
      <x:c r="G115" s="27"/>
    </x:row>
    <x:row r="116">
      <x:c r="C116" s="23"/>
      <x:c r="D116" s="27"/>
      <x:c r="E116" s="27"/>
      <x:c r="F116" s="27"/>
      <x:c r="G116" s="27"/>
    </x:row>
    <x:row r="117">
      <x:c r="C117" s="23"/>
      <x:c r="D117" s="27"/>
      <x:c r="E117" s="27"/>
      <x:c r="F117" s="27"/>
      <x:c r="G117" s="27"/>
    </x:row>
    <x:row r="118">
      <x:c r="C118" s="23"/>
      <x:c r="D118" s="27"/>
      <x:c r="E118" s="27"/>
      <x:c r="F118" s="27"/>
      <x:c r="G118" s="27"/>
    </x:row>
    <x:row r="119">
      <x:c r="C119" s="23"/>
      <x:c r="D119" s="27"/>
      <x:c r="E119" s="27"/>
      <x:c r="F119" s="27"/>
      <x:c r="G119" s="27"/>
    </x:row>
    <x:row r="120">
      <x:c r="C120" s="23"/>
      <x:c r="D120" s="27"/>
      <x:c r="E120" s="27"/>
      <x:c r="F120" s="27"/>
      <x:c r="G120" s="27"/>
    </x:row>
    <x:row r="121">
      <x:c r="C121" s="23"/>
      <x:c r="D121" s="27"/>
      <x:c r="E121" s="27"/>
      <x:c r="F121" s="27"/>
      <x:c r="G121" s="27"/>
    </x:row>
    <x:row r="122">
      <x:c r="C122" s="23"/>
      <x:c r="D122" s="27"/>
      <x:c r="E122" s="27"/>
      <x:c r="F122" s="27"/>
      <x:c r="G122" s="27"/>
    </x:row>
    <x:row r="123">
      <x:c r="C123" s="23"/>
      <x:c r="D123" s="27"/>
      <x:c r="E123" s="27"/>
      <x:c r="F123" s="27"/>
      <x:c r="G123" s="27"/>
    </x:row>
    <x:row r="124">
      <x:c r="C124" s="23"/>
      <x:c r="D124" s="27"/>
      <x:c r="E124" s="27"/>
      <x:c r="F124" s="27"/>
      <x:c r="G124" s="27"/>
    </x:row>
    <x:row r="125">
      <x:c r="C125" s="23"/>
      <x:c r="D125" s="27"/>
      <x:c r="E125" s="27"/>
      <x:c r="F125" s="27"/>
      <x:c r="G125" s="27"/>
    </x:row>
    <x:row r="126">
      <x:c r="C126" s="23"/>
      <x:c r="D126" s="27"/>
      <x:c r="E126" s="27"/>
      <x:c r="F126" s="27"/>
      <x:c r="G126" s="27"/>
    </x:row>
    <x:row r="127">
      <x:c r="C127" s="23"/>
      <x:c r="D127" s="27"/>
      <x:c r="E127" s="27"/>
      <x:c r="F127" s="27"/>
      <x:c r="G127" s="27"/>
    </x:row>
    <x:row r="128">
      <x:c r="C128" s="23"/>
      <x:c r="D128" s="27"/>
      <x:c r="E128" s="27"/>
      <x:c r="F128" s="27"/>
      <x:c r="G128" s="27"/>
    </x:row>
    <x:row r="129">
      <x:c r="C129" s="23"/>
      <x:c r="D129" s="27"/>
      <x:c r="E129" s="27"/>
      <x:c r="F129" s="27"/>
      <x:c r="G129" s="27"/>
    </x:row>
    <x:row r="130">
      <x:c r="C130" s="23"/>
      <x:c r="D130" s="27"/>
      <x:c r="E130" s="27"/>
      <x:c r="F130" s="27"/>
      <x:c r="G130" s="27"/>
    </x:row>
    <x:row r="131">
      <x:c r="C131" s="23"/>
      <x:c r="D131" s="27"/>
      <x:c r="E131" s="27"/>
      <x:c r="F131" s="27"/>
      <x:c r="G131" s="27"/>
    </x:row>
    <x:row r="132">
      <x:c r="C132" s="23"/>
      <x:c r="D132" s="27"/>
      <x:c r="E132" s="27"/>
      <x:c r="F132" s="27"/>
      <x:c r="G132" s="27"/>
    </x:row>
    <x:row r="133">
      <x:c r="C133" s="23"/>
      <x:c r="D133" s="27"/>
      <x:c r="E133" s="27"/>
      <x:c r="F133" s="27"/>
      <x:c r="G133" s="27"/>
    </x:row>
    <x:row r="134">
      <x:c r="C134" s="23"/>
      <x:c r="D134" s="27"/>
      <x:c r="E134" s="27"/>
      <x:c r="F134" s="27"/>
      <x:c r="G134" s="27"/>
    </x:row>
    <x:row r="135">
      <x:c r="C135" s="23"/>
      <x:c r="D135" s="27"/>
      <x:c r="E135" s="27"/>
      <x:c r="F135" s="27"/>
      <x:c r="G135" s="27"/>
    </x:row>
    <x:row r="136">
      <x:c r="C136" s="23"/>
      <x:c r="D136" s="27"/>
      <x:c r="E136" s="27"/>
      <x:c r="F136" s="27"/>
      <x:c r="G136" s="27"/>
    </x:row>
    <x:row r="137">
      <x:c r="C137" s="23"/>
      <x:c r="D137" s="27"/>
      <x:c r="E137" s="27"/>
      <x:c r="F137" s="27"/>
      <x:c r="G137" s="27"/>
    </x:row>
    <x:row r="138">
      <x:c r="C138" s="23"/>
      <x:c r="D138" s="27"/>
      <x:c r="E138" s="27"/>
      <x:c r="F138" s="27"/>
      <x:c r="G138" s="27"/>
    </x:row>
    <x:row r="139">
      <x:c r="C139" s="23"/>
      <x:c r="D139" s="27"/>
      <x:c r="E139" s="27"/>
      <x:c r="F139" s="27"/>
      <x:c r="G139" s="27"/>
    </x:row>
    <x:row r="140">
      <x:c r="C140" s="23"/>
      <x:c r="D140" s="27"/>
      <x:c r="E140" s="27"/>
      <x:c r="F140" s="27"/>
      <x:c r="G140" s="27"/>
    </x:row>
    <x:row r="141">
      <x:c r="C141" s="23"/>
      <x:c r="D141" s="27"/>
      <x:c r="E141" s="27"/>
      <x:c r="F141" s="27"/>
      <x:c r="G141" s="27"/>
    </x:row>
    <x:row r="142">
      <x:c r="C142" s="23"/>
      <x:c r="D142" s="27"/>
      <x:c r="E142" s="27"/>
      <x:c r="F142" s="27"/>
      <x:c r="G142" s="27"/>
    </x:row>
    <x:row r="143">
      <x:c r="C143" s="23"/>
      <x:c r="D143" s="27"/>
      <x:c r="E143" s="27"/>
      <x:c r="F143" s="27"/>
      <x:c r="G143" s="27"/>
    </x:row>
    <x:row r="144">
      <x:c r="C144" s="23"/>
      <x:c r="D144" s="27"/>
      <x:c r="E144" s="27"/>
      <x:c r="F144" s="27"/>
      <x:c r="G144" s="27"/>
    </x:row>
    <x:row r="145">
      <x:c r="C145" s="23"/>
      <x:c r="D145" s="27"/>
      <x:c r="E145" s="27"/>
      <x:c r="F145" s="27"/>
      <x:c r="G145" s="27"/>
    </x:row>
    <x:row r="146">
      <x:c r="C146" s="23"/>
      <x:c r="D146" s="27"/>
      <x:c r="E146" s="27"/>
      <x:c r="F146" s="27"/>
      <x:c r="G146" s="27"/>
    </x:row>
    <x:row r="147">
      <x:c r="C147" s="23"/>
      <x:c r="D147" s="27"/>
      <x:c r="E147" s="27"/>
      <x:c r="F147" s="27"/>
      <x:c r="G147" s="27"/>
    </x:row>
    <x:row r="148">
      <x:c r="C148" s="23"/>
      <x:c r="D148" s="27"/>
      <x:c r="E148" s="27"/>
      <x:c r="F148" s="27"/>
      <x:c r="G148" s="27"/>
    </x:row>
    <x:row r="149">
      <x:c r="C149" s="23"/>
      <x:c r="D149" s="27"/>
      <x:c r="E149" s="27"/>
      <x:c r="F149" s="27"/>
      <x:c r="G149" s="27"/>
    </x:row>
    <x:row r="150">
      <x:c r="C150" s="23"/>
      <x:c r="D150" s="27"/>
      <x:c r="E150" s="27"/>
      <x:c r="F150" s="27"/>
      <x:c r="G150" s="27"/>
    </x:row>
    <x:row r="151">
      <x:c r="C151" s="23"/>
      <x:c r="D151" s="27"/>
      <x:c r="E151" s="27"/>
      <x:c r="F151" s="27"/>
      <x:c r="G151" s="27"/>
    </x:row>
    <x:row r="152">
      <x:c r="C152" s="23"/>
      <x:c r="D152" s="27"/>
      <x:c r="E152" s="27"/>
      <x:c r="F152" s="27"/>
      <x:c r="G152" s="27"/>
    </x:row>
    <x:row r="153">
      <x:c r="C153" s="23"/>
      <x:c r="D153" s="27"/>
      <x:c r="E153" s="27"/>
      <x:c r="F153" s="27"/>
      <x:c r="G153" s="27"/>
    </x:row>
    <x:row r="154">
      <x:c r="C154" s="23"/>
      <x:c r="D154" s="27"/>
      <x:c r="E154" s="27"/>
      <x:c r="F154" s="27"/>
      <x:c r="G154" s="27"/>
    </x:row>
    <x:row r="155">
      <x:c r="C155" s="23"/>
      <x:c r="D155" s="27"/>
      <x:c r="E155" s="27"/>
      <x:c r="F155" s="27"/>
      <x:c r="G155" s="27"/>
    </x:row>
    <x:row r="156">
      <x:c r="C156" s="23"/>
      <x:c r="D156" s="27"/>
      <x:c r="E156" s="27"/>
      <x:c r="F156" s="27"/>
      <x:c r="G156" s="27"/>
    </x:row>
    <x:row r="157">
      <x:c r="C157" s="23"/>
      <x:c r="D157" s="27"/>
      <x:c r="E157" s="27"/>
      <x:c r="F157" s="27"/>
      <x:c r="G157" s="27"/>
    </x:row>
    <x:row r="158">
      <x:c r="C158" s="23"/>
      <x:c r="D158" s="27"/>
      <x:c r="E158" s="27"/>
      <x:c r="F158" s="27"/>
      <x:c r="G158" s="27"/>
    </x:row>
    <x:row r="159">
      <x:c r="C159" s="23"/>
      <x:c r="D159" s="27"/>
      <x:c r="E159" s="27"/>
      <x:c r="F159" s="27"/>
      <x:c r="G159" s="27"/>
    </x:row>
    <x:row r="160">
      <x:c r="C160" s="23"/>
      <x:c r="D160" s="27"/>
      <x:c r="E160" s="27"/>
      <x:c r="F160" s="27"/>
      <x:c r="G160" s="27"/>
    </x:row>
    <x:row r="161">
      <x:c r="C161" s="23"/>
      <x:c r="D161" s="27"/>
      <x:c r="E161" s="27"/>
      <x:c r="F161" s="27"/>
      <x:c r="G161" s="27"/>
    </x:row>
    <x:row r="162">
      <x:c r="C162" s="23"/>
      <x:c r="D162" s="27"/>
      <x:c r="E162" s="27"/>
      <x:c r="F162" s="27"/>
      <x:c r="G162" s="27"/>
    </x:row>
    <x:row r="163">
      <x:c r="C163" s="23"/>
      <x:c r="D163" s="27"/>
      <x:c r="E163" s="27"/>
      <x:c r="F163" s="27"/>
      <x:c r="G163" s="27"/>
    </x:row>
    <x:row r="164">
      <x:c r="C164" s="23"/>
      <x:c r="D164" s="27"/>
      <x:c r="E164" s="27"/>
      <x:c r="F164" s="27"/>
      <x:c r="G164" s="27"/>
    </x:row>
    <x:row r="165">
      <x:c r="C165" s="23"/>
      <x:c r="D165" s="27"/>
      <x:c r="E165" s="27"/>
      <x:c r="F165" s="27"/>
      <x:c r="G165" s="27"/>
    </x:row>
    <x:row r="166">
      <x:c r="C166" s="23"/>
      <x:c r="D166" s="27"/>
      <x:c r="E166" s="27"/>
      <x:c r="F166" s="27"/>
      <x:c r="G166" s="27"/>
    </x:row>
    <x:row r="167">
      <x:c r="C167" s="23"/>
      <x:c r="D167" s="27"/>
      <x:c r="E167" s="27"/>
      <x:c r="F167" s="27"/>
      <x:c r="G167" s="27"/>
    </x:row>
    <x:row r="168">
      <x:c r="C168" s="23"/>
      <x:c r="D168" s="27"/>
      <x:c r="E168" s="27"/>
      <x:c r="F168" s="27"/>
      <x:c r="G168" s="27"/>
    </x:row>
    <x:row r="169">
      <x:c r="C169" s="23"/>
      <x:c r="D169" s="27"/>
      <x:c r="E169" s="27"/>
      <x:c r="F169" s="27"/>
      <x:c r="G169" s="27"/>
    </x:row>
    <x:row r="170">
      <x:c r="C170" s="23"/>
      <x:c r="D170" s="27"/>
      <x:c r="E170" s="27"/>
      <x:c r="F170" s="27"/>
      <x:c r="G170" s="27"/>
    </x:row>
    <x:row r="171">
      <x:c r="C171" s="23"/>
      <x:c r="D171" s="27"/>
      <x:c r="E171" s="27"/>
      <x:c r="F171" s="27"/>
      <x:c r="G171" s="27"/>
    </x:row>
    <x:row r="172">
      <x:c r="C172" s="23"/>
      <x:c r="D172" s="27"/>
      <x:c r="E172" s="27"/>
      <x:c r="F172" s="27"/>
      <x:c r="G172" s="27"/>
    </x:row>
    <x:row r="173">
      <x:c r="C173" s="23"/>
      <x:c r="D173" s="27"/>
      <x:c r="E173" s="27"/>
      <x:c r="F173" s="27"/>
      <x:c r="G173" s="27"/>
    </x:row>
    <x:row r="174">
      <x:c r="C174" s="23"/>
      <x:c r="D174" s="27"/>
      <x:c r="E174" s="27"/>
      <x:c r="F174" s="27"/>
      <x:c r="G174" s="27"/>
    </x:row>
    <x:row r="175">
      <x:c r="C175" s="23"/>
      <x:c r="D175" s="27"/>
      <x:c r="E175" s="27"/>
      <x:c r="F175" s="27"/>
      <x:c r="G175" s="27"/>
    </x:row>
    <x:row r="176">
      <x:c r="C176" s="23"/>
      <x:c r="D176" s="27"/>
      <x:c r="E176" s="27"/>
      <x:c r="F176" s="27"/>
      <x:c r="G176" s="27"/>
    </x:row>
    <x:row r="177">
      <x:c r="C177" s="23"/>
      <x:c r="D177" s="27"/>
      <x:c r="E177" s="27"/>
      <x:c r="F177" s="27"/>
      <x:c r="G177" s="27"/>
    </x:row>
    <x:row r="178">
      <x:c r="C178" s="23"/>
      <x:c r="D178" s="27"/>
      <x:c r="E178" s="27"/>
      <x:c r="F178" s="27"/>
      <x:c r="G178" s="27"/>
    </x:row>
    <x:row r="179">
      <x:c r="C179" s="23"/>
      <x:c r="D179" s="27"/>
      <x:c r="E179" s="27"/>
      <x:c r="F179" s="27"/>
      <x:c r="G179" s="27"/>
    </x:row>
    <x:row r="180">
      <x:c r="C180" s="23"/>
      <x:c r="D180" s="27"/>
      <x:c r="E180" s="27"/>
      <x:c r="F180" s="27"/>
      <x:c r="G180" s="27"/>
    </x:row>
    <x:row r="181">
      <x:c r="C181" s="23"/>
      <x:c r="D181" s="27"/>
      <x:c r="E181" s="27"/>
      <x:c r="F181" s="27"/>
      <x:c r="G181" s="27"/>
    </x:row>
    <x:row r="182">
      <x:c r="C182" s="23"/>
      <x:c r="D182" s="27"/>
      <x:c r="E182" s="27"/>
      <x:c r="F182" s="27"/>
      <x:c r="G182" s="27"/>
    </x:row>
    <x:row r="183">
      <x:c r="C183" s="23"/>
      <x:c r="D183" s="27"/>
      <x:c r="E183" s="27"/>
      <x:c r="F183" s="27"/>
      <x:c r="G183" s="27"/>
    </x:row>
    <x:row r="184">
      <x:c r="C184" s="23"/>
      <x:c r="D184" s="27"/>
      <x:c r="E184" s="27"/>
      <x:c r="F184" s="27"/>
      <x:c r="G184" s="27"/>
    </x:row>
    <x:row r="185">
      <x:c r="C185" s="23"/>
      <x:c r="D185" s="27"/>
      <x:c r="E185" s="27"/>
      <x:c r="F185" s="27"/>
      <x:c r="G185" s="27"/>
    </x:row>
    <x:row r="186">
      <x:c r="C186" s="23"/>
      <x:c r="D186" s="27"/>
      <x:c r="E186" s="27"/>
      <x:c r="F186" s="27"/>
      <x:c r="G186" s="27"/>
    </x:row>
    <x:row r="187">
      <x:c r="C187" s="23"/>
      <x:c r="D187" s="27"/>
      <x:c r="E187" s="27"/>
      <x:c r="F187" s="27"/>
      <x:c r="G187" s="27"/>
    </x:row>
    <x:row r="188">
      <x:c r="C188" s="23"/>
      <x:c r="D188" s="27"/>
      <x:c r="E188" s="27"/>
      <x:c r="F188" s="27"/>
      <x:c r="G188" s="27"/>
    </x:row>
    <x:row r="189">
      <x:c r="C189" s="23"/>
      <x:c r="D189" s="27"/>
      <x:c r="E189" s="27"/>
      <x:c r="F189" s="27"/>
      <x:c r="G189" s="27"/>
    </x:row>
    <x:row r="190">
      <x:c r="C190" s="23"/>
      <x:c r="D190" s="27"/>
      <x:c r="E190" s="27"/>
      <x:c r="F190" s="27"/>
      <x:c r="G190" s="27"/>
    </x:row>
    <x:row r="191">
      <x:c r="C191" s="23"/>
      <x:c r="D191" s="27"/>
      <x:c r="E191" s="27"/>
      <x:c r="F191" s="27"/>
      <x:c r="G191" s="27"/>
    </x:row>
    <x:row r="192">
      <x:c r="C192" s="23"/>
      <x:c r="D192" s="27"/>
      <x:c r="E192" s="27"/>
      <x:c r="F192" s="27"/>
      <x:c r="G192" s="27"/>
    </x:row>
    <x:row r="193">
      <x:c r="C193" s="23"/>
      <x:c r="D193" s="27"/>
      <x:c r="E193" s="27"/>
      <x:c r="F193" s="27"/>
      <x:c r="G193" s="27"/>
    </x:row>
    <x:row r="194">
      <x:c r="C194" s="23"/>
      <x:c r="D194" s="27"/>
      <x:c r="E194" s="27"/>
      <x:c r="F194" s="27"/>
      <x:c r="G194" s="27"/>
    </x:row>
    <x:row r="195">
      <x:c r="C195" s="23"/>
      <x:c r="D195" s="27"/>
      <x:c r="E195" s="27"/>
      <x:c r="F195" s="27"/>
      <x:c r="G195" s="27"/>
    </x:row>
    <x:row r="196">
      <x:c r="C196" s="23"/>
      <x:c r="D196" s="27"/>
      <x:c r="E196" s="27"/>
      <x:c r="F196" s="27"/>
      <x:c r="G196" s="27"/>
    </x:row>
    <x:row r="197">
      <x:c r="C197" s="23"/>
      <x:c r="D197" s="27"/>
      <x:c r="E197" s="27"/>
      <x:c r="F197" s="27"/>
      <x:c r="G197" s="27"/>
    </x:row>
    <x:row r="198">
      <x:c r="C198" s="23"/>
      <x:c r="D198" s="27"/>
      <x:c r="E198" s="27"/>
      <x:c r="F198" s="27"/>
      <x:c r="G198" s="27"/>
    </x:row>
    <x:row r="199">
      <x:c r="C199" s="23"/>
      <x:c r="D199" s="27"/>
      <x:c r="E199" s="27"/>
      <x:c r="F199" s="27"/>
      <x:c r="G199" s="27"/>
    </x:row>
    <x:row r="200">
      <x:c r="C200" s="23"/>
      <x:c r="D200" s="27"/>
      <x:c r="E200" s="27"/>
      <x:c r="F200" s="27"/>
      <x:c r="G200" s="27"/>
    </x:row>
  </x:sheetData>
  <x:mergeCells>
    <x:mergeCell ref="A89:D89"/>
    <x:mergeCell ref="H89:J89"/>
  </x:mergeCells>
  <x:pageMargins left="0.7" right="0.7" top="0.75" bottom="0.75" header="0.3" footer="0.3"/>
  <x:tableParts count="1">
    <x:tablePart xmlns:r="http://schemas.openxmlformats.org/officeDocument/2006/relationships" r:id="Rbc4833bc3ac34f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5" hidden="0" customWidth="1"/>
    <x:col min="4" max="4" width="55" hidden="0" customWidth="1"/>
  </x:cols>
  <x:sheetData>
    <x:row r="1">
      <x:c r="A1" s="44" t="str">
        <x:v>Item</x:v>
      </x:c>
      <x:c r="B1" s="44" t="str">
        <x:v>Value</x:v>
      </x:c>
      <x:c r="C1" s="44" t="str">
        <x:v>Source / Comment</x:v>
      </x:c>
      <x:c r="D1" s="44" t="str">
        <x:v>URL</x:v>
      </x:c>
    </x:row>
    <x:row r="2">
      <x:c r="A2" t="str">
        <x:v>Vehicle catalog</x:v>
      </x:c>
      <x:c r="B2" t="str">
        <x:v>G82 M4 Competition, 4,962 parts</x:v>
      </x:c>
      <x:c r="C2" t="str">
        <x:v>BMV.parts confirms the applicable model catalog.</x:v>
      </x:c>
      <x:c r="D2" t="str">
        <x:v>https://bmv.parts/car/g82-m4-competition-61958</x:v>
      </x:c>
    </x:row>
    <x:row r="3">
      <x:c r="A3" t="str">
        <x:v>Estimate source</x:v>
      </x:c>
      <x:c r="B3" t="str">
        <x:v>Estimate 2073 PDF</x:v>
      </x:c>
      <x:c r="C3" t="str">
        <x:v>User uploaded repair estimate. No OEM part numbers listed in the estimate.</x:v>
      </x:c>
      <x:c r="D3" t="str">
        <x:v>/mnt/data/Estimate%202073.pdf</x:v>
      </x:c>
    </x:row>
    <x:row r="4">
      <x:c r="A4" t="str">
        <x:v>FX</x:v>
      </x:c>
      <x:c r="B4" t="str">
        <x:v>1 USD = 1.396 AUD</x:v>
      </x:c>
      <x:c r="C4" t="str">
        <x:v>Wise mid-market rate shown for 26 May 2026.</x:v>
      </x:c>
      <x:c r="D4" t="str">
        <x:v>https://wise.com/au/currency-converter/usd-to-aud-rate/history</x:v>
      </x:c>
    </x:row>
    <x:row r="5">
      <x:c r="A5" t="str">
        <x:v>Pricing method</x:v>
      </x:c>
      <x:c r="B5" t="str">
        <x:v>USD OEM dealer market price converted to AUD + 25% uplift + 10% GST</x:v>
      </x:c>
      <x:c r="C5" t="str">
        <x:v>This is not a BMW Australia dealer quote. BMW Australia pricing should be verified with dealer EPC/ETK or an authenticated API response.</x:v>
      </x:c>
      <x:c r="D5" t="str"/>
    </x:row>
    <x:row r="6">
      <x:c r="A6" t="str">
        <x:v>API note</x:v>
      </x:c>
      <x:c r="B6" t="str">
        <x:v>Public API docs page opened but did not expose parseable endpoint text in this environment</x:v>
      </x:c>
      <x:c r="C6" t="str">
        <x:v>The spreadsheet is structured so exact API part numbers/prices can be pasted into the PN and price columns later.</x:v>
      </x:c>
      <x:c r="D6" t="str">
        <x:v>https://bmv.parts/api-docs</x:v>
      </x:c>
    </x:row>
  </x:sheetData>
  <x:pageMargins left="0.7" right="0.7" top="0.75" bottom="0.75" header="0.3" footer="0.3"/>
</x:worksheet>
</file>